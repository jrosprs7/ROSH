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4f7c2317e4c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amboanga Pricing" sheetId="1" r:id="R0c102a15cec34fed"/>
    <x:sheet xmlns:r="http://schemas.openxmlformats.org/officeDocument/2006/relationships" name="Pricing Settings" sheetId="2" r:id="R15f053989b8b47fa"/>
  </x:sheets>
  <x:definedNames>
    <x:definedName name="Destinations">'Pricing Settings'!$G$7:$G$150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₱&quot;#,##0.00;[Red](&quot;₱&quot;#,##0.00);&quot;₱&quot;0.00"/>
    <x:numFmt numFmtId="201" formatCode="#,##0.00"/>
    <x:numFmt numFmtId="202" formatCode="&quot;₱&quot;#,##0;[Red](&quot;₱&quot;#,##0);&quot;₱&quot;0"/>
    <x:numFmt numFmtId="203" formatCode="#,##0.########"/>
    <x:numFmt numFmtId="204" formatCode="General"/>
  </x:numFmts>
  <x:fonts count="14">
    <x:font>
      <x:sz val="11"/>
      <x:name val="Carlito"/>
    </x:font>
    <x:font>
      <x:sz val="11"/>
      <x:color rgb="FF243447"/>
      <x:name val="Arial"/>
    </x:font>
    <x:font>
      <x:b/>
      <x:sz val="16"/>
      <x:color rgb="FF233C59"/>
      <x:name val="Arial"/>
    </x:font>
    <x:font>
      <x:sz val="11"/>
      <x:color rgb="FF596A7B"/>
      <x:name val="Arial"/>
    </x:font>
    <x:font>
      <x:b/>
      <x:sz val="11"/>
      <x:color rgb="FFFFFFFF"/>
      <x:name val="Arial"/>
    </x:font>
    <x:font>
      <x:sz val="11"/>
      <x:color rgb="FF164D8D"/>
      <x:name val="Arial"/>
    </x:font>
    <x:font>
      <x:sz val="10"/>
      <x:color rgb="FF596A7B"/>
      <x:name val="Arial"/>
    </x:font>
    <x:font>
      <x:sz val="10"/>
      <x:color rgb="FF37678D"/>
      <x:name val="Arial"/>
    </x:font>
    <x:font>
      <x:sz val="11"/>
      <x:color rgb="FF164D8D"/>
      <x:name val="Carlito"/>
    </x:font>
    <x:font>
      <x:sz val="11"/>
      <x:name val="Arial"/>
    </x:font>
    <x:font>
      <x:b/>
      <x:sz val="14"/>
      <x:color rgb="FF233C59"/>
      <x:name val="Arial"/>
    </x:font>
    <x:font>
      <x:b/>
      <x:sz val="11"/>
      <x:color rgb="FF233C59"/>
      <x:name val="Arial"/>
    </x:font>
    <x:font>
      <x:sz val="10"/>
      <x:color rgb="FF9C241F"/>
      <x:name val="Arial"/>
    </x:font>
    <x:font>
      <x:b/>
      <x:sz val="11"/>
      <x:color rgb="FF2434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233C59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5" fillId="4" borderId="0" xfId="0" applyNumberFormat="1" applyFont="1" applyFill="1" applyBorder="1"/>
    <x:xf numFmtId="0" fontId="9" fillId="0" borderId="0" xfId="0" applyNumberFormat="1" applyFont="1" applyFill="1" applyBorder="1"/>
    <x:xf numFmtId="201" fontId="5" fillId="4" borderId="0" xfId="0" applyNumberFormat="1" applyFont="1" applyFill="1" applyBorder="1"/>
    <x:xf numFmtId="200" fontId="9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3" fontId="5" fillId="4" borderId="0" xfId="0" applyNumberFormat="1" applyFont="1" applyFill="1" applyBorder="1" applyAlignment="1">
      <x:alignment vertical="center"/>
    </x:xf>
    <x:xf numFmtId="203" fontId="5" fillId="4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4" fontId="5" fillId="4" borderId="0" xfId="0" applyNumberFormat="1" applyFont="1" applyFill="1" applyBorder="1" applyAlignment="1">
      <x:alignment vertical="center"/>
    </x:xf>
    <x:xf numFmtId="204" fontId="5" fillId="4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b/>
        <x:color rgb="FF9C241F"/>
      </x:font>
      <x:fill>
        <x:patternFill>
          <x:bgColor rgb="FFFCE4D6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 patternType="solid">
          <x:bgColor rgb="FFF0F2F4"/>
        </x:patternFill>
      </x:fill>
    </x:dxf>
    <x:dxf>
      <x:font>
        <x:color rgb="FF84909C"/>
      </x:font>
      <x:fill>
        <x:patternFill patternType="solid">
          <x:bgColor rgb="FFF0F2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ab4896f89a4a1f" /><Relationship Type="http://schemas.openxmlformats.org/officeDocument/2006/relationships/theme" Target="/xl/theme/theme1.xml" Id="R2711f09f8cd74d71" /><Relationship Type="http://schemas.openxmlformats.org/officeDocument/2006/relationships/sharedStrings" Target="/xl/sharedStrings.xml" Id="R6f37fd472c06408a" /><Relationship Type="http://schemas.openxmlformats.org/officeDocument/2006/relationships/worksheet" Target="/xl/worksheets/sheet1.xml" Id="R0c102a15cec34fed" /><Relationship Type="http://schemas.openxmlformats.org/officeDocument/2006/relationships/worksheet" Target="/xl/worksheets/sheet2.xml" Id="R15f053989b8b47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C59"/>
  </x:sheetPr>
  <x:sheetViews>
    <x:sheetView showGridLines="0" workbookViewId="0"/>
  </x:sheetViews>
  <x:sheetFormatPr defaultRowHeight="15"/>
  <x:cols>
    <x:col min="1" max="1" width="3" hidden="0" customWidth="1"/>
    <x:col min="2" max="2" width="27" hidden="0" customWidth="1"/>
    <x:col min="3" max="3" width="2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2"/>
      <x:c r="B2" s="3" t="str">
        <x:v>Zamboanga Pricing</x:v>
      </x:c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2"/>
      <x:c r="B3" s="4" t="str">
        <x:v>Edit amber cells. Update rates and distances in Pricing Settings.</x:v>
      </x:c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2"/>
      <x:c r="B5" s="2"/>
      <x:c r="C5" s="2"/>
      <x:c r="D5" s="2"/>
      <x:c r="E5" s="2"/>
      <x:c r="F5" s="5" t="str">
        <x:v>QUOTED TOTAL</x:v>
      </x:c>
      <x:c r="G5" s="42" t="n">
        <x:f>IF(B12="Ready",G34,"" )</x:f>
        <x:v>21000</x:v>
      </x:c>
      <x:c r="H5" s="2"/>
      <x:c r="I5" s="2"/>
      <x:c r="J5" s="2"/>
    </x:row>
    <x:row r="6" ht="23" customHeight="1">
      <x:c r="A6" s="2"/>
      <x:c r="B6" s="9" t="str">
        <x:v>Job inputs</x:v>
      </x:c>
      <x:c r="C6" s="9"/>
      <x:c r="D6" s="2"/>
      <x:c r="E6" s="2"/>
      <x:c r="F6" s="2"/>
      <x:c r="G6" s="2"/>
      <x:c r="H6" s="2"/>
      <x:c r="I6" s="2"/>
      <x:c r="J6" s="2"/>
    </x:row>
    <x:row r="7" ht="23" customHeight="1">
      <x:c r="A7" s="2"/>
      <x:c r="B7" s="2" t="str">
        <x:v>Service</x:v>
      </x:c>
      <x:c r="C7" s="11" t="str">
        <x:v>Subdivide</x:v>
      </x:c>
      <x:c r="D7" s="2"/>
      <x:c r="E7" s="2"/>
      <x:c r="F7" s="2" t="str">
        <x:v>Office origin</x:v>
      </x:c>
      <x:c r="G7" s="20" t="str">
        <x:v>Tetuan</x:v>
      </x:c>
      <x:c r="H7" s="2"/>
      <x:c r="I7" s="2"/>
      <x:c r="J7" s="2"/>
    </x:row>
    <x:row r="8" ht="32" customHeight="1">
      <x:c r="A8" s="2"/>
      <x:c r="B8" s="2" t="str">
        <x:v>Lot / mother lot (sqm)</x:v>
      </x:c>
      <x:c r="C8" s="53" t="n">
        <x:v>500</x:v>
      </x:c>
      <x:c r="D8" s="2"/>
      <x:c r="E8" s="2"/>
      <x:c r="F8" s="2" t="str">
        <x:v>Distance method</x:v>
      </x:c>
      <x:c r="G8" s="13" t="str">
        <x:v>Preset estimate</x:v>
      </x:c>
      <x:c r="H8" s="2"/>
      <x:c r="I8" s="2"/>
      <x:c r="J8" s="2"/>
    </x:row>
    <x:row r="9" ht="42" customHeight="1">
      <x:c r="A9" s="2"/>
      <x:c r="B9" s="2" t="str">
        <x:v>Barangay / locality</x:v>
      </x:c>
      <x:c r="C9" s="13" t="str">
        <x:v>Tetuan</x:v>
      </x:c>
      <x:c r="D9" s="2"/>
      <x:c r="E9" s="2"/>
      <x:c r="F9" s="20" t="str">
        <x:v>One-way travel km</x:v>
      </x:c>
      <x:c r="G9" s="54"/>
      <x:c r="H9" s="2"/>
      <x:c r="I9" s="2"/>
      <x:c r="J9" s="2"/>
    </x:row>
    <x:row r="10" ht="23" customHeight="1">
      <x:c r="A10" s="2"/>
      <x:c r="B10" s="2" t="str">
        <x:v>Survey report?</x:v>
      </x:c>
      <x:c r="C10" s="11" t="str">
        <x:v>No</x:v>
      </x:c>
      <x:c r="D10" s="2"/>
      <x:c r="E10" s="2"/>
      <x:c r="F10" s="2" t="str">
        <x:v>Site (optional)</x:v>
      </x:c>
      <x:c r="G10" s="13"/>
      <x:c r="H10" s="2"/>
      <x:c r="I10" s="2"/>
      <x:c r="J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8" customHeight="1">
      <x:c r="A12" s="2"/>
      <x:c r="B12" s="33" t="str">
        <x:f>IF(AND(C7&lt;&gt;"Relocate",C7&lt;&gt;"Subdivide",C7&lt;&gt;"Original survey"),"Choose Relocate, Subdivide or Original survey.",IF(OR(NOT(ISNUMBER(C8)),C8&lt;=0),"Enter a positive lot area.",IF(AND(C10&lt;&gt;"Yes",C10&lt;&gt;"No"),"Choose Yes or No for Survey report.",IF(G7&lt;&gt;"Tetuan","Only the Tetuan origin is configured.",IF(AND(G8&lt;&gt;"Preset estimate",G8&lt;&gt;"Manual km"),"Choose Preset estimate or Manual km.",IF(AND(G8="Manual km",OR(NOT(ISNUMBER(G9)),G9&lt;0)),"Enter a nonnegative one-way travel distance in km.",IF(AND(C7="Original survey",OR(NOT(ISNUMBER('Pricing Settings'!$C$39)),'Pricing Settings'!$C$39&lt;0,OR(COUNT('Pricing Settings'!C22:C24)&lt;&gt;3,MIN('Pricing Settings'!C22:C24)&lt;0))),"Review original survey base and shared area rates.",IF(OR(OR(COUNT('Pricing Settings'!C28:C31)&lt;&gt;4,MIN('Pricing Settings'!C28:C31)&lt;0),'Pricing Settings'!$C$29&lt;='Pricing Settings'!$C$28,'Pricing Settings'!$C$30&lt;='Pricing Settings'!$C$29,'Pricing Settings'!$C$31&lt;=0,OR(COUNT('Pricing Settings'!C34:C35)&lt;&gt;2,MIN('Pricing Settings'!C34:C35)&lt;0),'Pricing Settings'!$C$35&lt;=0,NOT(ISNUMBER('Pricing Settings'!$C$37)),'Pricing Settings'!$C$37&lt;=0),"Review area, travel or rounding settings.",IF(AND(C7="Relocate",OR(OR(COUNT('Pricing Settings'!C7:C11)&lt;&gt;5,MIN('Pricing Settings'!C7:C11)&lt;0),'Pricing Settings'!$C$10&lt;=0,'Pricing Settings'!$C$11&lt;='Pricing Settings'!$C$10,OR(COUNT('Pricing Settings'!C22:C24)&lt;&gt;3,MIN('Pricing Settings'!C22:C24)&lt;0))),"Review relocation rates and thresholds.",IF(AND(C7="Subdivide",OR(OR(COUNT('Pricing Settings'!C14:C19)&lt;&gt;6,MIN('Pricing Settings'!C14:C19)&lt;0),'Pricing Settings'!$C$18&lt;=0,'Pricing Settings'!$C$19&lt;='Pricing Settings'!$C$18,OR(COUNT('Pricing Settings'!C25:C27)&lt;&gt;3,MIN('Pricing Settings'!C25:C27)&lt;0))),"Review subdivision rates and thresholds.",IF(AND(C10="Yes",OR(NOT(ISNUMBER('Pricing Settings'!$C$36)),'Pricing Settings'!$C$36&lt;0)),"Enter a valid survey report charge.",IF(IF(G8="Preset estimate",OR(C9="",COUNTIF('Pricing Settings'!$G$7:$G$150,C9)&lt;&gt;1),FALSE),"Choose a unique destination in Pricing Settings.",IF(IF(G8="Preset estimate",COUNTIFS('Pricing Settings'!$G$7:$G$150,C9,'Pricing Settings'!$H$7:$H$150,"&lt;&gt;")&lt;&gt;1,FALSE),"Enter a preset distance or choose Manual km.",IF(IF(G8="Preset estimate",NOT(ISNUMBER(VLOOKUP(C9,'Pricing Settings'!$G$7:$H$150,2,FALSE))),FALSE),"Enter a numeric destination distance.",IF(IF(G8="Preset estimate",VLOOKUP(C9,'Pricing Settings'!$G$7:$H$150,2,FALSE)&lt;0,FALSE),"Destination distance cannot be negative.",IF(AND(C7="Subdivide",COUNT(C18:C25)&lt;&gt;COUNTA(C18:C25)),"Sublot areas must be numbers or blank.",IF(AND(C7="Subdivide",MIN(C18:C25)&lt;0),"Sublot areas cannot be negative.",IF(AND(C7="Subdivide",SUM(C18:C25)&lt;=0),"Enter at least one additional sublot.",IF(AND(C7="Subdivide",SUM(C18:C25)&gt;=C8),"Sublot total must be less than the mother lot.","Ready")))))))))))))))))))</x:f>
        <x:v>Ready</x:v>
      </x:c>
      <x:c r="C12" s="2"/>
      <x:c r="D12" s="2"/>
      <x:c r="E12" s="2"/>
      <x:c r="F12" s="2"/>
      <x:c r="G12" s="2"/>
      <x:c r="H12" s="2"/>
      <x:c r="I12" s="2"/>
      <x:c r="J12" s="2"/>
    </x:row>
    <x:row r="13" ht="23" customHeight="1">
      <x:c r="A13" s="2"/>
      <x:c r="B13" s="32"/>
      <x:c r="C13" s="2"/>
      <x:c r="D13" s="2"/>
      <x:c r="E13" s="2"/>
      <x:c r="F13" s="2"/>
      <x:c r="G13" s="2"/>
      <x:c r="H13" s="2"/>
      <x:c r="I13" s="2"/>
      <x:c r="J13" s="2"/>
    </x:row>
    <x:row r="14" ht="23" customHeight="1">
      <x:c r="A14" s="2"/>
      <x:c r="B14" s="2" t="str">
        <x:f>IF(C7="Subdivide","Enter Sublots 2–9 below. Sublot 1 is the calculated remainder.","Enter the full lot area above. Sublot entries are ignored for this service.")</x:f>
        <x:v>Enter Sublots 2–9 below. Sublot 1 is the calculated remainder.</x:v>
      </x:c>
      <x:c r="C14" s="2"/>
      <x:c r="D14" s="2"/>
      <x:c r="E14" s="2"/>
      <x:c r="F14" s="2"/>
      <x:c r="G14" s="2"/>
      <x:c r="H14" s="2"/>
      <x:c r="I14" s="2"/>
      <x:c r="J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3" customHeight="1">
      <x:c r="A16" s="2"/>
      <x:c r="B16" s="14" t="str">
        <x:v>Lot</x:v>
      </x:c>
      <x:c r="C16" s="14" t="str">
        <x:v>Area (sqm)</x:v>
      </x:c>
      <x:c r="D16" s="14" t="str">
        <x:v>Chargeable ha</x:v>
      </x:c>
      <x:c r="E16" s="14" t="str">
        <x:v>Base price</x:v>
      </x:c>
      <x:c r="F16" s="14" t="str">
        <x:v>Additional area</x:v>
      </x:c>
      <x:c r="G16" s="14" t="str">
        <x:v>Lot charge</x:v>
      </x:c>
      <x:c r="H16" s="2"/>
      <x:c r="I16" s="2"/>
      <x:c r="J16" s="2"/>
    </x:row>
    <x:row r="17" ht="23" customHeight="1">
      <x:c r="A17" s="2"/>
      <x:c r="B17" s="5" t="str">
        <x:f>IF(C7="Subdivide","Sublot 1 (remaining)",IF(C7="Original survey","Original survey lot","Relocation lot"))</x:f>
        <x:v>Sublot 1 (remaining)</x:v>
      </x:c>
      <x:c r="C17" s="55" t="n">
        <x:f>IF(ISNUMBER(C8),IF(C7="Subdivide",C8-SUM(C18:C25),C8),"")</x:f>
        <x:v>300</x:v>
      </x:c>
      <x:c r="D17" s="55" t="n">
        <x:f>IF(OR($B$12&lt;&gt;"Ready",AND($C$7&lt;&gt;"Subdivide",ROW()&gt;17)),"",FLOOR(C17/10000,'Pricing Settings'!$C$31))</x:f>
        <x:v>0</x:v>
      </x:c>
      <x:c r="E17" s="43" t="n">
        <x:f>IF(OR($B$12&lt;&gt;"Ready",AND($C$7&lt;&gt;"Subdivide",ROW()&gt;17)),"",IF($C$7="Subdivide",'Pricing Settings'!$C$14,IF($C$7="Original survey",'Pricing Settings'!$C$39,IF(C17&lt;'Pricing Settings'!$C$10,'Pricing Settings'!$C$7,IF(C17&lt;'Pricing Settings'!$C$11,'Pricing Settings'!$C$8,'Pricing Settings'!$C$9)))))</x:f>
        <x:v>13000</x:v>
      </x:c>
      <x:c r="F17" s="43" t="n">
        <x:f>IF(OR($B$12&lt;&gt;"Ready",AND($C$7&lt;&gt;"Subdivide",ROW()&gt;17)),"",IF($C$7="Subdivide",MAX(0,MIN(D17,'Pricing Settings'!$C$29)-'Pricing Settings'!$C$28)*'Pricing Settings'!$C$25+MAX(0,MIN(D17,'Pricing Settings'!$C$30)-'Pricing Settings'!$C$29)*'Pricing Settings'!$C$26+MAX(0,D17-'Pricing Settings'!$C$30)*'Pricing Settings'!$C$27,MAX(0,MIN(D17,'Pricing Settings'!$C$29)-'Pricing Settings'!$C$28)*'Pricing Settings'!$C$22+MAX(0,MIN(D17,'Pricing Settings'!$C$30)-'Pricing Settings'!$C$29)*'Pricing Settings'!$C$23+MAX(0,D17-'Pricing Settings'!$C$30)*'Pricing Settings'!$C$24))</x:f>
        <x:v>0</x:v>
      </x:c>
      <x:c r="G17" s="43" t="n">
        <x:f>IF(OR($B$12&lt;&gt;"Ready",AND($C$7&lt;&gt;"Subdivide",ROW()&gt;17)),"",SUM(E17:F17))</x:f>
        <x:v>13000</x:v>
      </x:c>
      <x:c r="H17" s="2"/>
      <x:c r="I17" s="2"/>
      <x:c r="J17" s="2"/>
    </x:row>
    <x:row r="18" ht="23" customHeight="1">
      <x:c r="A18" s="2"/>
      <x:c r="B18" s="2" t="str">
        <x:v>Sublot 2</x:v>
      </x:c>
      <x:c r="C18" s="53" t="n">
        <x:v>200</x:v>
      </x:c>
      <x:c r="D18" s="56" t="n">
        <x:f>IF(OR($B$12&lt;&gt;"Ready",AND($C$7&lt;&gt;"Subdivide",ROW()&gt;17)),"",FLOOR(C18/10000,'Pricing Settings'!$C$31))</x:f>
        <x:v>0</x:v>
      </x:c>
      <x:c r="E18" s="44" t="n">
        <x:f>IF(OR($B$12&lt;&gt;"Ready",AND($C$7&lt;&gt;"Subdivide",ROW()&gt;17)),"",IF(C18&gt;0,IF(C18&lt;'Pricing Settings'!$C$18,'Pricing Settings'!$C$15,IF(C18&lt;'Pricing Settings'!$C$19,'Pricing Settings'!$C$16,'Pricing Settings'!$C$17)),0))</x:f>
        <x:v>8000</x:v>
      </x:c>
      <x:c r="F18" s="44" t="n">
        <x:f>IF(OR($B$12&lt;&gt;"Ready",AND($C$7&lt;&gt;"Subdivide",ROW()&gt;17)),"",IF($C$7="Subdivide",MAX(0,MIN(D18,'Pricing Settings'!$C$29)-'Pricing Settings'!$C$28)*'Pricing Settings'!$C$25+MAX(0,MIN(D18,'Pricing Settings'!$C$30)-'Pricing Settings'!$C$29)*'Pricing Settings'!$C$26+MAX(0,D18-'Pricing Settings'!$C$30)*'Pricing Settings'!$C$27,MAX(0,MIN(D18,'Pricing Settings'!$C$29)-'Pricing Settings'!$C$28)*'Pricing Settings'!$C$22+MAX(0,MIN(D18,'Pricing Settings'!$C$30)-'Pricing Settings'!$C$29)*'Pricing Settings'!$C$23+MAX(0,D18-'Pricing Settings'!$C$30)*'Pricing Settings'!$C$24))</x:f>
        <x:v>0</x:v>
      </x:c>
      <x:c r="G18" s="44" t="n">
        <x:f>IF(OR($B$12&lt;&gt;"Ready",AND($C$7&lt;&gt;"Subdivide",ROW()&gt;17)),"",SUM(E18:F18))</x:f>
        <x:v>8000</x:v>
      </x:c>
      <x:c r="H18" s="2"/>
      <x:c r="I18" s="2"/>
      <x:c r="J18" s="2"/>
    </x:row>
    <x:row r="19" ht="23" customHeight="1">
      <x:c r="A19" s="2"/>
      <x:c r="B19" s="2" t="str">
        <x:v>Sublot 3</x:v>
      </x:c>
      <x:c r="C19" s="53"/>
      <x:c r="D19" s="56" t="n">
        <x:f>IF(OR($B$12&lt;&gt;"Ready",AND($C$7&lt;&gt;"Subdivide",ROW()&gt;17)),"",FLOOR(C19/10000,'Pricing Settings'!$C$31))</x:f>
        <x:v>0</x:v>
      </x:c>
      <x:c r="E19" s="44" t="n">
        <x:f>IF(OR($B$12&lt;&gt;"Ready",AND($C$7&lt;&gt;"Subdivide",ROW()&gt;17)),"",IF(C19&gt;0,IF(C19&lt;'Pricing Settings'!$C$18,'Pricing Settings'!$C$15,IF(C19&lt;'Pricing Settings'!$C$19,'Pricing Settings'!$C$16,'Pricing Settings'!$C$17)),0))</x:f>
        <x:v>0</x:v>
      </x:c>
      <x:c r="F19" s="44" t="n">
        <x:f>IF(OR($B$12&lt;&gt;"Ready",AND($C$7&lt;&gt;"Subdivide",ROW()&gt;17)),"",IF($C$7="Subdivide",MAX(0,MIN(D19,'Pricing Settings'!$C$29)-'Pricing Settings'!$C$28)*'Pricing Settings'!$C$25+MAX(0,MIN(D19,'Pricing Settings'!$C$30)-'Pricing Settings'!$C$29)*'Pricing Settings'!$C$26+MAX(0,D19-'Pricing Settings'!$C$30)*'Pricing Settings'!$C$27,MAX(0,MIN(D19,'Pricing Settings'!$C$29)-'Pricing Settings'!$C$28)*'Pricing Settings'!$C$22+MAX(0,MIN(D19,'Pricing Settings'!$C$30)-'Pricing Settings'!$C$29)*'Pricing Settings'!$C$23+MAX(0,D19-'Pricing Settings'!$C$30)*'Pricing Settings'!$C$24))</x:f>
        <x:v>0</x:v>
      </x:c>
      <x:c r="G19" s="44" t="n">
        <x:f>IF(OR($B$12&lt;&gt;"Ready",AND($C$7&lt;&gt;"Subdivide",ROW()&gt;17)),"",SUM(E19:F19))</x:f>
        <x:v>0</x:v>
      </x:c>
      <x:c r="H19" s="2"/>
      <x:c r="I19" s="2"/>
      <x:c r="J19" s="2"/>
    </x:row>
    <x:row r="20" ht="23" customHeight="1">
      <x:c r="A20" s="2"/>
      <x:c r="B20" s="2" t="str">
        <x:v>Sublot 4</x:v>
      </x:c>
      <x:c r="C20" s="53"/>
      <x:c r="D20" s="56" t="n">
        <x:f>IF(OR($B$12&lt;&gt;"Ready",AND($C$7&lt;&gt;"Subdivide",ROW()&gt;17)),"",FLOOR(C20/10000,'Pricing Settings'!$C$31))</x:f>
        <x:v>0</x:v>
      </x:c>
      <x:c r="E20" s="44" t="n">
        <x:f>IF(OR($B$12&lt;&gt;"Ready",AND($C$7&lt;&gt;"Subdivide",ROW()&gt;17)),"",IF(C20&gt;0,IF(C20&lt;'Pricing Settings'!$C$18,'Pricing Settings'!$C$15,IF(C20&lt;'Pricing Settings'!$C$19,'Pricing Settings'!$C$16,'Pricing Settings'!$C$17)),0))</x:f>
        <x:v>0</x:v>
      </x:c>
      <x:c r="F20" s="44" t="n">
        <x:f>IF(OR($B$12&lt;&gt;"Ready",AND($C$7&lt;&gt;"Subdivide",ROW()&gt;17)),"",IF($C$7="Subdivide",MAX(0,MIN(D20,'Pricing Settings'!$C$29)-'Pricing Settings'!$C$28)*'Pricing Settings'!$C$25+MAX(0,MIN(D20,'Pricing Settings'!$C$30)-'Pricing Settings'!$C$29)*'Pricing Settings'!$C$26+MAX(0,D20-'Pricing Settings'!$C$30)*'Pricing Settings'!$C$27,MAX(0,MIN(D20,'Pricing Settings'!$C$29)-'Pricing Settings'!$C$28)*'Pricing Settings'!$C$22+MAX(0,MIN(D20,'Pricing Settings'!$C$30)-'Pricing Settings'!$C$29)*'Pricing Settings'!$C$23+MAX(0,D20-'Pricing Settings'!$C$30)*'Pricing Settings'!$C$24))</x:f>
        <x:v>0</x:v>
      </x:c>
      <x:c r="G20" s="44" t="n">
        <x:f>IF(OR($B$12&lt;&gt;"Ready",AND($C$7&lt;&gt;"Subdivide",ROW()&gt;17)),"",SUM(E20:F20))</x:f>
        <x:v>0</x:v>
      </x:c>
      <x:c r="H20" s="2"/>
      <x:c r="I20" s="2"/>
      <x:c r="J20" s="2"/>
    </x:row>
    <x:row r="21" ht="23" customHeight="1">
      <x:c r="A21" s="2"/>
      <x:c r="B21" s="2" t="str">
        <x:v>Sublot 5</x:v>
      </x:c>
      <x:c r="C21" s="53"/>
      <x:c r="D21" s="56" t="n">
        <x:f>IF(OR($B$12&lt;&gt;"Ready",AND($C$7&lt;&gt;"Subdivide",ROW()&gt;17)),"",FLOOR(C21/10000,'Pricing Settings'!$C$31))</x:f>
        <x:v>0</x:v>
      </x:c>
      <x:c r="E21" s="44" t="n">
        <x:f>IF(OR($B$12&lt;&gt;"Ready",AND($C$7&lt;&gt;"Subdivide",ROW()&gt;17)),"",IF(C21&gt;0,IF(C21&lt;'Pricing Settings'!$C$18,'Pricing Settings'!$C$15,IF(C21&lt;'Pricing Settings'!$C$19,'Pricing Settings'!$C$16,'Pricing Settings'!$C$17)),0))</x:f>
        <x:v>0</x:v>
      </x:c>
      <x:c r="F21" s="44" t="n">
        <x:f>IF(OR($B$12&lt;&gt;"Ready",AND($C$7&lt;&gt;"Subdivide",ROW()&gt;17)),"",IF($C$7="Subdivide",MAX(0,MIN(D21,'Pricing Settings'!$C$29)-'Pricing Settings'!$C$28)*'Pricing Settings'!$C$25+MAX(0,MIN(D21,'Pricing Settings'!$C$30)-'Pricing Settings'!$C$29)*'Pricing Settings'!$C$26+MAX(0,D21-'Pricing Settings'!$C$30)*'Pricing Settings'!$C$27,MAX(0,MIN(D21,'Pricing Settings'!$C$29)-'Pricing Settings'!$C$28)*'Pricing Settings'!$C$22+MAX(0,MIN(D21,'Pricing Settings'!$C$30)-'Pricing Settings'!$C$29)*'Pricing Settings'!$C$23+MAX(0,D21-'Pricing Settings'!$C$30)*'Pricing Settings'!$C$24))</x:f>
        <x:v>0</x:v>
      </x:c>
      <x:c r="G21" s="44" t="n">
        <x:f>IF(OR($B$12&lt;&gt;"Ready",AND($C$7&lt;&gt;"Subdivide",ROW()&gt;17)),"",SUM(E21:F21))</x:f>
        <x:v>0</x:v>
      </x:c>
      <x:c r="H21" s="2"/>
      <x:c r="I21" s="2"/>
      <x:c r="J21" s="2"/>
    </x:row>
    <x:row r="22" ht="23" customHeight="1">
      <x:c r="A22" s="2"/>
      <x:c r="B22" s="2" t="str">
        <x:v>Sublot 6</x:v>
      </x:c>
      <x:c r="C22" s="53"/>
      <x:c r="D22" s="56" t="n">
        <x:f>IF(OR($B$12&lt;&gt;"Ready",AND($C$7&lt;&gt;"Subdivide",ROW()&gt;17)),"",FLOOR(C22/10000,'Pricing Settings'!$C$31))</x:f>
        <x:v>0</x:v>
      </x:c>
      <x:c r="E22" s="44" t="n">
        <x:f>IF(OR($B$12&lt;&gt;"Ready",AND($C$7&lt;&gt;"Subdivide",ROW()&gt;17)),"",IF(C22&gt;0,IF(C22&lt;'Pricing Settings'!$C$18,'Pricing Settings'!$C$15,IF(C22&lt;'Pricing Settings'!$C$19,'Pricing Settings'!$C$16,'Pricing Settings'!$C$17)),0))</x:f>
        <x:v>0</x:v>
      </x:c>
      <x:c r="F22" s="44" t="n">
        <x:f>IF(OR($B$12&lt;&gt;"Ready",AND($C$7&lt;&gt;"Subdivide",ROW()&gt;17)),"",IF($C$7="Subdivide",MAX(0,MIN(D22,'Pricing Settings'!$C$29)-'Pricing Settings'!$C$28)*'Pricing Settings'!$C$25+MAX(0,MIN(D22,'Pricing Settings'!$C$30)-'Pricing Settings'!$C$29)*'Pricing Settings'!$C$26+MAX(0,D22-'Pricing Settings'!$C$30)*'Pricing Settings'!$C$27,MAX(0,MIN(D22,'Pricing Settings'!$C$29)-'Pricing Settings'!$C$28)*'Pricing Settings'!$C$22+MAX(0,MIN(D22,'Pricing Settings'!$C$30)-'Pricing Settings'!$C$29)*'Pricing Settings'!$C$23+MAX(0,D22-'Pricing Settings'!$C$30)*'Pricing Settings'!$C$24))</x:f>
        <x:v>0</x:v>
      </x:c>
      <x:c r="G22" s="44" t="n">
        <x:f>IF(OR($B$12&lt;&gt;"Ready",AND($C$7&lt;&gt;"Subdivide",ROW()&gt;17)),"",SUM(E22:F22))</x:f>
        <x:v>0</x:v>
      </x:c>
      <x:c r="H22" s="2"/>
      <x:c r="I22" s="2"/>
      <x:c r="J22" s="2"/>
    </x:row>
    <x:row r="23" ht="23" customHeight="1">
      <x:c r="A23" s="2"/>
      <x:c r="B23" s="2" t="str">
        <x:v>Sublot 7</x:v>
      </x:c>
      <x:c r="C23" s="53"/>
      <x:c r="D23" s="56" t="n">
        <x:f>IF(OR($B$12&lt;&gt;"Ready",AND($C$7&lt;&gt;"Subdivide",ROW()&gt;17)),"",FLOOR(C23/10000,'Pricing Settings'!$C$31))</x:f>
        <x:v>0</x:v>
      </x:c>
      <x:c r="E23" s="44" t="n">
        <x:f>IF(OR($B$12&lt;&gt;"Ready",AND($C$7&lt;&gt;"Subdivide",ROW()&gt;17)),"",IF(C23&gt;0,IF(C23&lt;'Pricing Settings'!$C$18,'Pricing Settings'!$C$15,IF(C23&lt;'Pricing Settings'!$C$19,'Pricing Settings'!$C$16,'Pricing Settings'!$C$17)),0))</x:f>
        <x:v>0</x:v>
      </x:c>
      <x:c r="F23" s="44" t="n">
        <x:f>IF(OR($B$12&lt;&gt;"Ready",AND($C$7&lt;&gt;"Subdivide",ROW()&gt;17)),"",IF($C$7="Subdivide",MAX(0,MIN(D23,'Pricing Settings'!$C$29)-'Pricing Settings'!$C$28)*'Pricing Settings'!$C$25+MAX(0,MIN(D23,'Pricing Settings'!$C$30)-'Pricing Settings'!$C$29)*'Pricing Settings'!$C$26+MAX(0,D23-'Pricing Settings'!$C$30)*'Pricing Settings'!$C$27,MAX(0,MIN(D23,'Pricing Settings'!$C$29)-'Pricing Settings'!$C$28)*'Pricing Settings'!$C$22+MAX(0,MIN(D23,'Pricing Settings'!$C$30)-'Pricing Settings'!$C$29)*'Pricing Settings'!$C$23+MAX(0,D23-'Pricing Settings'!$C$30)*'Pricing Settings'!$C$24))</x:f>
        <x:v>0</x:v>
      </x:c>
      <x:c r="G23" s="44" t="n">
        <x:f>IF(OR($B$12&lt;&gt;"Ready",AND($C$7&lt;&gt;"Subdivide",ROW()&gt;17)),"",SUM(E23:F23))</x:f>
        <x:v>0</x:v>
      </x:c>
      <x:c r="H23" s="2"/>
      <x:c r="I23" s="2"/>
      <x:c r="J23" s="2"/>
    </x:row>
    <x:row r="24" ht="23" customHeight="1">
      <x:c r="A24" s="2"/>
      <x:c r="B24" s="2" t="str">
        <x:v>Sublot 8</x:v>
      </x:c>
      <x:c r="C24" s="53"/>
      <x:c r="D24" s="56" t="n">
        <x:f>IF(OR($B$12&lt;&gt;"Ready",AND($C$7&lt;&gt;"Subdivide",ROW()&gt;17)),"",FLOOR(C24/10000,'Pricing Settings'!$C$31))</x:f>
        <x:v>0</x:v>
      </x:c>
      <x:c r="E24" s="44" t="n">
        <x:f>IF(OR($B$12&lt;&gt;"Ready",AND($C$7&lt;&gt;"Subdivide",ROW()&gt;17)),"",IF(C24&gt;0,IF(C24&lt;'Pricing Settings'!$C$18,'Pricing Settings'!$C$15,IF(C24&lt;'Pricing Settings'!$C$19,'Pricing Settings'!$C$16,'Pricing Settings'!$C$17)),0))</x:f>
        <x:v>0</x:v>
      </x:c>
      <x:c r="F24" s="44" t="n">
        <x:f>IF(OR($B$12&lt;&gt;"Ready",AND($C$7&lt;&gt;"Subdivide",ROW()&gt;17)),"",IF($C$7="Subdivide",MAX(0,MIN(D24,'Pricing Settings'!$C$29)-'Pricing Settings'!$C$28)*'Pricing Settings'!$C$25+MAX(0,MIN(D24,'Pricing Settings'!$C$30)-'Pricing Settings'!$C$29)*'Pricing Settings'!$C$26+MAX(0,D24-'Pricing Settings'!$C$30)*'Pricing Settings'!$C$27,MAX(0,MIN(D24,'Pricing Settings'!$C$29)-'Pricing Settings'!$C$28)*'Pricing Settings'!$C$22+MAX(0,MIN(D24,'Pricing Settings'!$C$30)-'Pricing Settings'!$C$29)*'Pricing Settings'!$C$23+MAX(0,D24-'Pricing Settings'!$C$30)*'Pricing Settings'!$C$24))</x:f>
        <x:v>0</x:v>
      </x:c>
      <x:c r="G24" s="44" t="n">
        <x:f>IF(OR($B$12&lt;&gt;"Ready",AND($C$7&lt;&gt;"Subdivide",ROW()&gt;17)),"",SUM(E24:F24))</x:f>
        <x:v>0</x:v>
      </x:c>
      <x:c r="H24" s="2"/>
      <x:c r="I24" s="2"/>
      <x:c r="J24" s="2"/>
    </x:row>
    <x:row r="25" ht="23" customHeight="1">
      <x:c r="A25" s="2"/>
      <x:c r="B25" s="2" t="str">
        <x:v>Sublot 9</x:v>
      </x:c>
      <x:c r="C25" s="53"/>
      <x:c r="D25" s="56" t="n">
        <x:f>IF(OR($B$12&lt;&gt;"Ready",AND($C$7&lt;&gt;"Subdivide",ROW()&gt;17)),"",FLOOR(C25/10000,'Pricing Settings'!$C$31))</x:f>
        <x:v>0</x:v>
      </x:c>
      <x:c r="E25" s="44" t="n">
        <x:f>IF(OR($B$12&lt;&gt;"Ready",AND($C$7&lt;&gt;"Subdivide",ROW()&gt;17)),"",IF(C25&gt;0,IF(C25&lt;'Pricing Settings'!$C$18,'Pricing Settings'!$C$15,IF(C25&lt;'Pricing Settings'!$C$19,'Pricing Settings'!$C$16,'Pricing Settings'!$C$17)),0))</x:f>
        <x:v>0</x:v>
      </x:c>
      <x:c r="F25" s="44" t="n">
        <x:f>IF(OR($B$12&lt;&gt;"Ready",AND($C$7&lt;&gt;"Subdivide",ROW()&gt;17)),"",IF($C$7="Subdivide",MAX(0,MIN(D25,'Pricing Settings'!$C$29)-'Pricing Settings'!$C$28)*'Pricing Settings'!$C$25+MAX(0,MIN(D25,'Pricing Settings'!$C$30)-'Pricing Settings'!$C$29)*'Pricing Settings'!$C$26+MAX(0,D25-'Pricing Settings'!$C$30)*'Pricing Settings'!$C$27,MAX(0,MIN(D25,'Pricing Settings'!$C$29)-'Pricing Settings'!$C$28)*'Pricing Settings'!$C$22+MAX(0,MIN(D25,'Pricing Settings'!$C$30)-'Pricing Settings'!$C$29)*'Pricing Settings'!$C$23+MAX(0,D25-'Pricing Settings'!$C$30)*'Pricing Settings'!$C$24))</x:f>
        <x:v>0</x:v>
      </x:c>
      <x:c r="G25" s="44" t="n">
        <x:f>IF(OR($B$12&lt;&gt;"Ready",AND($C$7&lt;&gt;"Subdivide",ROW()&gt;17)),"",SUM(E25:F25))</x:f>
        <x:v>0</x:v>
      </x:c>
      <x:c r="H25" s="2"/>
      <x:c r="I25" s="2"/>
      <x:c r="J25" s="2"/>
    </x:row>
    <x:row r="26" ht="23" customHeight="1">
      <x:c r="A26" s="2"/>
      <x:c r="B26" s="2"/>
      <x:c r="C26" s="2"/>
      <x:c r="D26" s="2"/>
      <x:c r="E26" s="16"/>
      <x:c r="F26" s="16"/>
      <x:c r="G26" s="16"/>
      <x:c r="H26" s="2"/>
      <x:c r="I26" s="2"/>
      <x:c r="J26" s="2"/>
    </x:row>
    <x:row r="27" ht="23" customHeight="1">
      <x:c r="A27" s="2"/>
      <x:c r="B27" s="17" t="str">
        <x:v>Enter up to 8 additional sublots; the unentered balance is the remaining lot.</x:v>
      </x:c>
      <x:c r="C27" s="2"/>
      <x:c r="D27" s="2"/>
      <x:c r="E27" s="16"/>
      <x:c r="F27" s="16"/>
      <x:c r="G27" s="16"/>
      <x:c r="H27" s="2"/>
      <x:c r="I27" s="2"/>
      <x:c r="J27" s="2"/>
    </x:row>
    <x:row r="28" ht="23" customHeight="1">
      <x:c r="A28" s="2"/>
      <x:c r="B28" s="2"/>
      <x:c r="C28" s="2"/>
      <x:c r="D28" s="2"/>
      <x:c r="E28" s="16"/>
      <x:c r="F28" s="16"/>
      <x:c r="G28" s="16"/>
      <x:c r="H28" s="2"/>
      <x:c r="I28" s="2"/>
      <x:c r="J28" s="2"/>
    </x:row>
    <x:row r="29" ht="23" customHeight="1">
      <x:c r="A29" s="2"/>
      <x:c r="B29" s="2"/>
      <x:c r="C29" s="2"/>
      <x:c r="D29" s="2"/>
      <x:c r="E29" s="16"/>
      <x:c r="F29" s="16" t="str">
        <x:v>Lot charges</x:v>
      </x:c>
      <x:c r="G29" s="44" t="n">
        <x:f>IF($B$12&lt;&gt;"Ready","",SUM(G17:G25))</x:f>
        <x:v>21000</x:v>
      </x:c>
      <x:c r="H29" s="2"/>
      <x:c r="I29" s="2"/>
      <x:c r="J29" s="2"/>
    </x:row>
    <x:row r="30" ht="23" customHeight="1">
      <x:c r="A30" s="2"/>
      <x:c r="B30" s="2" t="str">
        <x:v>Distance used (km)</x:v>
      </x:c>
      <x:c r="C30" s="56" t="n">
        <x:f>IF($B$12&lt;&gt;"Ready","",IF(G8="Manual km",G9,VLOOKUP(C9,'Pricing Settings'!$G$7:$H$150,2,FALSE)))</x:f>
        <x:v>0</x:v>
      </x:c>
      <x:c r="D30" s="2"/>
      <x:c r="E30" s="16"/>
      <x:c r="F30" s="16" t="str">
        <x:v>Travel</x:v>
      </x:c>
      <x:c r="G30" s="44" t="n">
        <x:f>IF($B$12&lt;&gt;"Ready","",ROUND(C30/'Pricing Settings'!$C$35,0)*'Pricing Settings'!$C$34)</x:f>
        <x:v>0</x:v>
      </x:c>
      <x:c r="H30" s="2"/>
      <x:c r="I30" s="2"/>
      <x:c r="J30" s="2"/>
    </x:row>
    <x:row r="31" ht="23" customHeight="1">
      <x:c r="A31" s="2"/>
      <x:c r="B31" s="2" t="str">
        <x:v>Travel basis</x:v>
      </x:c>
      <x:c r="C31" s="2" t="str">
        <x:f>IF(G8="Manual km","Tetuan to actual site","Tetuan to preset site")</x:f>
        <x:v>Tetuan to preset site</x:v>
      </x:c>
      <x:c r="D31" s="2"/>
      <x:c r="E31" s="16"/>
      <x:c r="F31" s="16" t="str">
        <x:v>Survey report</x:v>
      </x:c>
      <x:c r="G31" s="44" t="n">
        <x:f>IF($B$12&lt;&gt;"Ready","",IF(C10="Yes",'Pricing Settings'!$C$36,0))</x:f>
        <x:v>0</x:v>
      </x:c>
      <x:c r="H31" s="2"/>
      <x:c r="I31" s="2"/>
      <x:c r="J31" s="2"/>
    </x:row>
    <x:row r="32" ht="23" customHeight="1">
      <x:c r="A32" s="2"/>
      <x:c r="B32" s="2"/>
      <x:c r="C32" s="2"/>
      <x:c r="D32" s="2"/>
      <x:c r="E32" s="16"/>
      <x:c r="F32" s="16" t="str">
        <x:v>Before rounding</x:v>
      </x:c>
      <x:c r="G32" s="44" t="n">
        <x:f>IF($B$12&lt;&gt;"Ready","",SUM(G29:G31))</x:f>
        <x:v>21000</x:v>
      </x:c>
      <x:c r="H32" s="2"/>
      <x:c r="I32" s="2"/>
      <x:c r="J32" s="2"/>
    </x:row>
    <x:row r="33" ht="23" customHeight="1">
      <x:c r="A33" s="2"/>
      <x:c r="B33" s="2"/>
      <x:c r="C33" s="2"/>
      <x:c r="D33" s="2"/>
      <x:c r="E33" s="16"/>
      <x:c r="F33" s="16" t="str">
        <x:v>Rounding adjustment</x:v>
      </x:c>
      <x:c r="G33" s="44" t="n">
        <x:f>IF($B$12&lt;&gt;"Ready","",FLOOR(G32,'Pricing Settings'!$C$37)-G32)</x:f>
        <x:v>0</x:v>
      </x:c>
      <x:c r="H33" s="2"/>
      <x:c r="I33" s="2"/>
      <x:c r="J33" s="2"/>
    </x:row>
    <x:row r="34" ht="30" customHeight="1">
      <x:c r="A34" s="2"/>
      <x:c r="B34" s="2"/>
      <x:c r="C34" s="2"/>
      <x:c r="D34" s="2"/>
      <x:c r="E34" s="16"/>
      <x:c r="F34" s="37" t="str">
        <x:v>Final quote</x:v>
      </x:c>
      <x:c r="G34" s="45" t="n">
        <x:f>IF($B$12&lt;&gt;"Ready","",SUM(G32:G33))</x:f>
        <x:v>21000</x:v>
      </x:c>
      <x:c r="H34" s="2"/>
      <x:c r="I34" s="2"/>
      <x:c r="J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3" customHeight="1">
      <x:c r="A37" s="2"/>
      <x:c r="B37" s="17" t="str">
        <x:v>Area surcharges use hectares rounded down to the configured increment.</x:v>
      </x:c>
      <x:c r="C37" s="2"/>
      <x:c r="D37" s="2"/>
      <x:c r="E37" s="2"/>
      <x:c r="F37" s="2"/>
      <x:c r="G37" s="2"/>
      <x:c r="H37" s="2"/>
      <x:c r="I37" s="2"/>
      <x:c r="J37" s="2"/>
    </x:row>
    <x:row r="38" ht="23" customHeight="1">
      <x:c r="A38" s="2"/>
      <x:c r="B38" s="17" t="str">
        <x:v>Travel units round to the nearest whole unit. Survey report is charged once.</x:v>
      </x:c>
      <x:c r="C38" s="2"/>
      <x:c r="D38" s="2"/>
      <x:c r="E38" s="2"/>
      <x:c r="F38" s="2"/>
      <x:c r="G38" s="2"/>
      <x:c r="H38" s="2"/>
      <x:c r="I38" s="2"/>
      <x:c r="J38" s="2"/>
    </x:row>
    <x:row r="39" ht="23" customHeight="1">
      <x:c r="A39" s="2"/>
      <x:c r="B39" s="17" t="str">
        <x:v>The final quote rounds down after all charges are combined.</x:v>
      </x:c>
      <x:c r="C39" s="2"/>
      <x:c r="D39" s="2"/>
      <x:c r="E39" s="2"/>
      <x:c r="F39" s="2"/>
      <x:c r="G39" s="2"/>
      <x:c r="H39" s="2"/>
      <x:c r="I39" s="2"/>
      <x:c r="J39" s="2"/>
    </x:row>
    <x:row r="40" ht="23" customHeight="1">
      <x:c r="A40" s="2"/>
      <x:c r="B40" s="17" t="str">
        <x:v>Rates apply live; save a separate copy when you need to retain an issued quote.</x:v>
      </x:c>
      <x:c r="C40" s="2"/>
      <x:c r="D40" s="2"/>
      <x:c r="E40" s="2"/>
      <x:c r="F40" s="2"/>
      <x:c r="G40" s="2"/>
      <x:c r="H40" s="2"/>
      <x:c r="I40" s="2"/>
      <x:c r="J40" s="2"/>
    </x:row>
    <x:row r="41" ht="23" customHeight="1">
      <x:c r="A41" s="2"/>
      <x:c r="B41" s="17" t="str">
        <x:v>Reference: Tetuan Barangay Hall. Manual km replaces the preset for the actual site.</x:v>
      </x:c>
      <x:c r="C41" s="2"/>
      <x:c r="D41" s="2"/>
      <x:c r="E41" s="2"/>
      <x:c r="F41" s="2"/>
      <x:c r="G41" s="2"/>
      <x:c r="H41" s="2"/>
      <x:c r="I41" s="2"/>
      <x:c r="J41" s="2"/>
    </x:row>
    <x:row r="42" ht="23" customHeight="1">
      <x:c r="A42" s="2"/>
      <x:c r="B42" s="17" t="str">
        <x:v>Island labels identify destinations; the same travel formula applies. Blank presets require Manual km.</x:v>
      </x:c>
      <x:c r="C42" s="2"/>
      <x:c r="D42" s="2"/>
      <x:c r="E42" s="2"/>
      <x:c r="F42" s="2"/>
      <x:c r="G42" s="2"/>
      <x:c r="H42" s="2"/>
      <x:c r="I42" s="2"/>
      <x:c r="J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</x:sheetData>
  <x:conditionalFormatting sqref="B12:G12">
    <x:cfRule type="expression" dxfId="2" priority="3">
      <x:formula>$B$12&lt;&gt;"Ready"</x:formula>
    </x:cfRule>
  </x:conditionalFormatting>
  <x:conditionalFormatting sqref="C18:C25">
    <x:cfRule type="expression" dxfId="3" priority="4">
      <x:formula>$C$7&lt;&gt;"Subdivide"</x:formula>
    </x:cfRule>
  </x:conditionalFormatting>
  <x:conditionalFormatting sqref="C9:C9">
    <x:cfRule type="expression" dxfId="6" priority="7">
      <x:formula>$G$8="Manual km"</x:formula>
    </x:cfRule>
  </x:conditionalFormatting>
  <x:conditionalFormatting sqref="G9:G10">
    <x:cfRule type="expression" dxfId="7" priority="8">
      <x:formula>$G$8="Preset estimate"</x:formula>
    </x:cfRule>
  </x:conditionalFormatting>
  <x:dataValidations count="4">
    <x:dataValidation type="list" sqref="C7">
      <x:formula1>"Relocate,Subdivide,Original survey"</x:formula1>
    </x:dataValidation>
    <x:dataValidation type="list" sqref="C10">
      <x:formula1>"No,Yes"</x:formula1>
    </x:dataValidation>
    <x:dataValidation type="list" sqref="C9">
      <x:formula1>Destinations</x:formula1>
    </x:dataValidation>
    <x:dataValidation type="list" sqref="G8">
      <x:formula1>"Preset estimate,Manual km"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767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4" hidden="0" customWidth="1"/>
    <x:col min="3" max="3" width="19" hidden="0" customWidth="1"/>
    <x:col min="4" max="4" width="49" hidden="0" customWidth="1"/>
    <x:col min="5" max="5" width="3" hidden="0" customWidth="1"/>
    <x:col min="6" max="6" width="3" hidden="0" customWidth="1"/>
    <x:col min="7" max="7" width="30" hidden="0" customWidth="1"/>
    <x:col min="8" max="8" width="16" hidden="0" customWidth="1"/>
    <x:col min="9" max="9" width="19" hidden="0" customWidth="1"/>
    <x:col min="10" max="10" width="3" hidden="0" customWidth="1"/>
    <x:col min="11" max="11" width="5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2"/>
      <x:c r="B2" s="3" t="str">
        <x:v>Pricing Settings</x:v>
      </x:c>
      <x:c r="C2" s="2"/>
      <x:c r="D2" s="2"/>
      <x:c r="E2" s="2"/>
      <x:c r="F2" s="2"/>
      <x:c r="G2" s="28" t="str">
        <x:v>Tetuan Barangay Hall reference</x:v>
      </x:c>
      <x:c r="H2" s="2"/>
      <x:c r="I2" s="2"/>
      <x:c r="J2" s="2"/>
    </x:row>
    <x:row r="3" ht="23" customHeight="1">
      <x:c r="A3" s="2"/>
      <x:c r="B3" s="2" t="str">
        <x:v>Amber cells are editable. Changes apply to the current quote immediately.</x:v>
      </x:c>
      <x:c r="C3" s="2"/>
      <x:c r="D3" s="2"/>
      <x:c r="E3" s="2"/>
      <x:c r="F3" s="2"/>
      <x:c r="G3" s="2" t="str">
        <x:v>98 barangays + San Ramon locality. Island pricing retained.</x:v>
      </x:c>
      <x:c r="H3" s="2"/>
      <x:c r="I3" s="2"/>
      <x:c r="J3" s="2"/>
    </x:row>
    <x:row r="4" ht="23" customHeight="1">
      <x:c r="A4" s="2"/>
      <x:c r="B4" s="2"/>
      <x:c r="C4" s="2"/>
      <x:c r="D4" s="2"/>
      <x:c r="E4" s="2"/>
      <x:c r="F4" s="2"/>
      <x:c r="G4" s="2" t="str">
        <x:v>Approximate km. Use Manual km for the actual survey site.</x:v>
      </x:c>
      <x:c r="H4" s="2"/>
      <x:c r="I4" s="2"/>
      <x:c r="J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3" customHeight="1">
      <x:c r="A6" s="2"/>
      <x:c r="B6" s="9" t="str">
        <x:v>Relocation base prices</x:v>
      </x:c>
      <x:c r="C6" s="9"/>
      <x:c r="D6" s="9"/>
      <x:c r="E6" s="2"/>
      <x:c r="F6" s="2"/>
      <x:c r="G6" s="14" t="str">
        <x:v>Barangay / locality</x:v>
      </x:c>
      <x:c r="H6" s="14" t="str">
        <x:v>Distance (km)</x:v>
      </x:c>
      <x:c r="I6" s="14" t="str">
        <x:v>Travel fee (PHP)</x:v>
      </x:c>
      <x:c r="J6" s="2"/>
      <x:c r="K6" s="29" t="str">
        <x:v>Route / reference note</x:v>
      </x:c>
    </x:row>
    <x:row r="7" ht="48" customHeight="1">
      <x:c r="A7" s="2"/>
      <x:c r="B7" s="2" t="str">
        <x:v>Relocation: small lot</x:v>
      </x:c>
      <x:c r="C7" s="51" t="n">
        <x:v>10000</x:v>
      </x:c>
      <x:c r="D7" s="18" t="str">
        <x:v>Below the middle-band threshold.</x:v>
      </x:c>
      <x:c r="E7" s="2"/>
      <x:c r="F7" s="2"/>
      <x:c r="G7" s="13" t="str">
        <x:v>Arena Blanco</x:v>
      </x:c>
      <x:c r="H7" s="53" t="n">
        <x:v>7.8</x:v>
      </x:c>
      <x:c r="I7" s="44" t="n">
        <x:f>IF(G7="","",IF(OR(NOT(ISNUMBER(H7)),H7&lt;0,NOT(ISNUMBER($C$34)),NOT(ISNUMBER($C$35)),$C$34&lt;0,$C$35&lt;=0),"Check distance/rate",ROUND(H7/$C$35,0)*$C$34))</x:f>
        <x:v>500</x:v>
      </x:c>
      <x:c r="J7" s="2"/>
      <x:c r="K7" s="18" t="str">
        <x:v>OSRM road estimate to mapped barangay/locality centre.</x:v>
      </x:c>
    </x:row>
    <x:row r="8" ht="48" customHeight="1">
      <x:c r="A8" s="2"/>
      <x:c r="B8" s="2" t="str">
        <x:v>Relocation: middle band</x:v>
      </x:c>
      <x:c r="C8" s="51" t="n">
        <x:v>13000</x:v>
      </x:c>
      <x:c r="D8" s="18" t="str">
        <x:v>From the middle to the large-band threshold.</x:v>
      </x:c>
      <x:c r="E8" s="2"/>
      <x:c r="F8" s="2"/>
      <x:c r="G8" s="13" t="str">
        <x:v>Ayala</x:v>
      </x:c>
      <x:c r="H8" s="53" t="n">
        <x:v>18.4</x:v>
      </x:c>
      <x:c r="I8" s="44" t="n">
        <x:f>IF(G8="","",IF(OR(NOT(ISNUMBER(H8)),H8&lt;0,NOT(ISNUMBER($C$34)),NOT(ISNUMBER($C$35)),$C$34&lt;0,$C$35&lt;=0),"Check distance/rate",ROUND(H8/$C$35,0)*$C$34))</x:f>
        <x:v>1000</x:v>
      </x:c>
      <x:c r="J8" s="2"/>
      <x:c r="K8" s="18" t="str">
        <x:v>OSRM road estimate to barangay hall.</x:v>
      </x:c>
    </x:row>
    <x:row r="9" ht="48" customHeight="1">
      <x:c r="A9" s="2"/>
      <x:c r="B9" s="2" t="str">
        <x:v>Relocation: large lot</x:v>
      </x:c>
      <x:c r="C9" s="51" t="n">
        <x:v>15000</x:v>
      </x:c>
      <x:c r="D9" s="18" t="str">
        <x:v>From the large-band threshold upward.</x:v>
      </x:c>
      <x:c r="E9" s="2"/>
      <x:c r="F9" s="2"/>
      <x:c r="G9" s="13" t="str">
        <x:v>Baliwasan</x:v>
      </x:c>
      <x:c r="H9" s="53" t="n">
        <x:v>4</x:v>
      </x:c>
      <x:c r="I9" s="44" t="n">
        <x:f>IF(G9="","",IF(OR(NOT(ISNUMBER(H9)),H9&lt;0,NOT(ISNUMBER($C$34)),NOT(ISNUMBER($C$35)),$C$34&lt;0,$C$35&lt;=0),"Check distance/rate",ROUND(H9/$C$35,0)*$C$34))</x:f>
        <x:v>0</x:v>
      </x:c>
      <x:c r="J9" s="2"/>
      <x:c r="K9" s="18" t="str">
        <x:v>OSRM road estimate to barangay hall.</x:v>
      </x:c>
    </x:row>
    <x:row r="10" ht="48" customHeight="1">
      <x:c r="A10" s="2"/>
      <x:c r="B10" s="2" t="str">
        <x:v>Middle band starts (sqm)</x:v>
      </x:c>
      <x:c r="C10" s="53" t="n">
        <x:v>1000</x:v>
      </x:c>
      <x:c r="D10" s="18" t="str">
        <x:v>Inclusive lower threshold.</x:v>
      </x:c>
      <x:c r="E10" s="2"/>
      <x:c r="F10" s="2"/>
      <x:c r="G10" s="13" t="str">
        <x:v>Baluno</x:v>
      </x:c>
      <x:c r="H10" s="53" t="n">
        <x:v>20.3</x:v>
      </x:c>
      <x:c r="I10" s="44" t="n">
        <x:f>IF(G10="","",IF(OR(NOT(ISNUMBER(H10)),H10&lt;0,NOT(ISNUMBER($C$34)),NOT(ISNUMBER($C$35)),$C$34&lt;0,$C$35&lt;=0),"Check distance/rate",ROUND(H10/$C$35,0)*$C$34))</x:f>
        <x:v>1000</x:v>
      </x:c>
      <x:c r="J10" s="2"/>
      <x:c r="K10" s="18" t="str">
        <x:v>OSRM road estimate to barangay hall.</x:v>
      </x:c>
    </x:row>
    <x:row r="11" ht="48" customHeight="1">
      <x:c r="A11" s="2"/>
      <x:c r="B11" s="2" t="str">
        <x:v>Large band starts (sqm)</x:v>
      </x:c>
      <x:c r="C11" s="53" t="n">
        <x:v>10000</x:v>
      </x:c>
      <x:c r="D11" s="18" t="str">
        <x:v>Inclusive lower threshold.</x:v>
      </x:c>
      <x:c r="E11" s="2"/>
      <x:c r="F11" s="2"/>
      <x:c r="G11" s="13" t="str">
        <x:v>Barangay Zone I</x:v>
      </x:c>
      <x:c r="H11" s="53" t="n">
        <x:v>3</x:v>
      </x:c>
      <x:c r="I11" s="44" t="n">
        <x:f>IF(G11="","",IF(OR(NOT(ISNUMBER(H11)),H11&lt;0,NOT(ISNUMBER($C$34)),NOT(ISNUMBER($C$35)),$C$34&lt;0,$C$35&lt;=0),"Check distance/rate",ROUND(H11/$C$35,0)*$C$34))</x:f>
        <x:v>0</x:v>
      </x:c>
      <x:c r="J11" s="2"/>
      <x:c r="K11" s="18" t="str">
        <x:v>OSRM road estimate to barangay hall.</x:v>
      </x:c>
    </x:row>
    <x:row r="12" ht="48" customHeight="1">
      <x:c r="A12" s="2"/>
      <x:c r="B12" s="2"/>
      <x:c r="C12" s="56"/>
      <x:c r="D12" s="20"/>
      <x:c r="E12" s="2"/>
      <x:c r="F12" s="2"/>
      <x:c r="G12" s="13" t="str">
        <x:v>Barangay Zone II</x:v>
      </x:c>
      <x:c r="H12" s="53" t="n">
        <x:v>3.4</x:v>
      </x:c>
      <x:c r="I12" s="44" t="n">
        <x:f>IF(G12="","",IF(OR(NOT(ISNUMBER(H12)),H12&lt;0,NOT(ISNUMBER($C$34)),NOT(ISNUMBER($C$35)),$C$34&lt;0,$C$35&lt;=0),"Check distance/rate",ROUND(H12/$C$35,0)*$C$34))</x:f>
        <x:v>0</x:v>
      </x:c>
      <x:c r="J12" s="2"/>
      <x:c r="K12" s="18" t="str">
        <x:v>OSRM road estimate to mapped barangay/locality centre.</x:v>
      </x:c>
    </x:row>
    <x:row r="13" ht="48" customHeight="1">
      <x:c r="A13" s="2"/>
      <x:c r="B13" s="9" t="str">
        <x:v>Subdivision base prices</x:v>
      </x:c>
      <x:c r="C13" s="57"/>
      <x:c r="D13" s="39"/>
      <x:c r="E13" s="2"/>
      <x:c r="F13" s="2"/>
      <x:c r="G13" s="13" t="str">
        <x:v>Barangay Zone III</x:v>
      </x:c>
      <x:c r="H13" s="53" t="n">
        <x:v>2.1</x:v>
      </x:c>
      <x:c r="I13" s="44" t="n">
        <x:f>IF(G13="","",IF(OR(NOT(ISNUMBER(H13)),H13&lt;0,NOT(ISNUMBER($C$34)),NOT(ISNUMBER($C$35)),$C$34&lt;0,$C$35&lt;=0),"Check distance/rate",ROUND(H13/$C$35,0)*$C$34))</x:f>
        <x:v>0</x:v>
      </x:c>
      <x:c r="J13" s="2"/>
      <x:c r="K13" s="18" t="str">
        <x:v>OSRM road estimate to barangay hall.</x:v>
      </x:c>
    </x:row>
    <x:row r="14" ht="48" customHeight="1">
      <x:c r="A14" s="2"/>
      <x:c r="B14" s="2" t="str">
        <x:v>Subdivision: remaining-lot base</x:v>
      </x:c>
      <x:c r="C14" s="51" t="n">
        <x:v>13000</x:v>
      </x:c>
      <x:c r="D14" s="18" t="str">
        <x:v>Charged once for the remaining lot.</x:v>
      </x:c>
      <x:c r="E14" s="2"/>
      <x:c r="F14" s="2"/>
      <x:c r="G14" s="13" t="str">
        <x:v>Barangay Zone IV</x:v>
      </x:c>
      <x:c r="H14" s="53" t="n">
        <x:v>2.6</x:v>
      </x:c>
      <x:c r="I14" s="44" t="n">
        <x:f>IF(G14="","",IF(OR(NOT(ISNUMBER(H14)),H14&lt;0,NOT(ISNUMBER($C$34)),NOT(ISNUMBER($C$35)),$C$34&lt;0,$C$35&lt;=0),"Check distance/rate",ROUND(H14/$C$35,0)*$C$34))</x:f>
        <x:v>0</x:v>
      </x:c>
      <x:c r="J14" s="2"/>
      <x:c r="K14" s="18" t="str">
        <x:v>OSRM road estimate to barangay hall.</x:v>
      </x:c>
    </x:row>
    <x:row r="15" ht="48" customHeight="1">
      <x:c r="A15" s="2"/>
      <x:c r="B15" s="2" t="str">
        <x:v>Additional sublot: small</x:v>
      </x:c>
      <x:c r="C15" s="51" t="n">
        <x:v>8000</x:v>
      </x:c>
      <x:c r="D15" s="18" t="str">
        <x:v>Positive area below the middle-band threshold.</x:v>
      </x:c>
      <x:c r="E15" s="2"/>
      <x:c r="F15" s="2"/>
      <x:c r="G15" s="13" t="str">
        <x:v>Boalan</x:v>
      </x:c>
      <x:c r="H15" s="53" t="n">
        <x:v>5.5</x:v>
      </x:c>
      <x:c r="I15" s="44" t="n">
        <x:f>IF(G15="","",IF(OR(NOT(ISNUMBER(H15)),H15&lt;0,NOT(ISNUMBER($C$34)),NOT(ISNUMBER($C$35)),$C$34&lt;0,$C$35&lt;=0),"Check distance/rate",ROUND(H15/$C$35,0)*$C$34))</x:f>
        <x:v>500</x:v>
      </x:c>
      <x:c r="J15" s="2"/>
      <x:c r="K15" s="18" t="str">
        <x:v>OSRM road estimate to mapped barangay/locality centre.</x:v>
      </x:c>
    </x:row>
    <x:row r="16" ht="48" customHeight="1">
      <x:c r="A16" s="2"/>
      <x:c r="B16" s="2" t="str">
        <x:v>Additional sublot: middle</x:v>
      </x:c>
      <x:c r="C16" s="51" t="n">
        <x:v>8500</x:v>
      </x:c>
      <x:c r="D16" s="18" t="str">
        <x:v>From the middle to the large-band threshold.</x:v>
      </x:c>
      <x:c r="E16" s="2"/>
      <x:c r="F16" s="2"/>
      <x:c r="G16" s="13" t="str">
        <x:v>Bolong</x:v>
      </x:c>
      <x:c r="H16" s="53" t="n">
        <x:v>33.2</x:v>
      </x:c>
      <x:c r="I16" s="44" t="n">
        <x:f>IF(G16="","",IF(OR(NOT(ISNUMBER(H16)),H16&lt;0,NOT(ISNUMBER($C$34)),NOT(ISNUMBER($C$35)),$C$34&lt;0,$C$35&lt;=0),"Check distance/rate",ROUND(H16/$C$35,0)*$C$34))</x:f>
        <x:v>1500</x:v>
      </x:c>
      <x:c r="J16" s="2"/>
      <x:c r="K16" s="18" t="str">
        <x:v>OSRM road estimate to barangay hall.</x:v>
      </x:c>
    </x:row>
    <x:row r="17" ht="48" customHeight="1">
      <x:c r="A17" s="2"/>
      <x:c r="B17" s="2" t="str">
        <x:v>Additional sublot: large</x:v>
      </x:c>
      <x:c r="C17" s="51" t="n">
        <x:v>10000</x:v>
      </x:c>
      <x:c r="D17" s="18" t="str">
        <x:v>From the large-band threshold upward.</x:v>
      </x:c>
      <x:c r="E17" s="2"/>
      <x:c r="F17" s="2"/>
      <x:c r="G17" s="13" t="str">
        <x:v>Buenavista</x:v>
      </x:c>
      <x:c r="H17" s="53" t="n">
        <x:v>52.4</x:v>
      </x:c>
      <x:c r="I17" s="44" t="n">
        <x:f>IF(G17="","",IF(OR(NOT(ISNUMBER(H17)),H17&lt;0,NOT(ISNUMBER($C$34)),NOT(ISNUMBER($C$35)),$C$34&lt;0,$C$35&lt;=0),"Check distance/rate",ROUND(H17/$C$35,0)*$C$34))</x:f>
        <x:v>2500</x:v>
      </x:c>
      <x:c r="J17" s="2"/>
      <x:c r="K17" s="18" t="str">
        <x:v>OSRM road estimate to Buenavista Elementary School (reference landmark).</x:v>
      </x:c>
    </x:row>
    <x:row r="18" ht="48" customHeight="1">
      <x:c r="A18" s="2"/>
      <x:c r="B18" s="2" t="str">
        <x:v>Sublot middle band starts (sqm)</x:v>
      </x:c>
      <x:c r="C18" s="53" t="n">
        <x:v>5000</x:v>
      </x:c>
      <x:c r="D18" s="18" t="str">
        <x:v>Inclusive lower threshold.</x:v>
      </x:c>
      <x:c r="E18" s="2"/>
      <x:c r="F18" s="2"/>
      <x:c r="G18" s="13" t="str">
        <x:v>Bunguiao</x:v>
      </x:c>
      <x:c r="H18" s="53" t="n">
        <x:v>34.3</x:v>
      </x:c>
      <x:c r="I18" s="44" t="n">
        <x:f>IF(G18="","",IF(OR(NOT(ISNUMBER(H18)),H18&lt;0,NOT(ISNUMBER($C$34)),NOT(ISNUMBER($C$35)),$C$34&lt;0,$C$35&lt;=0),"Check distance/rate",ROUND(H18/$C$35,0)*$C$34))</x:f>
        <x:v>1500</x:v>
      </x:c>
      <x:c r="J18" s="2"/>
      <x:c r="K18" s="18" t="str">
        <x:v>OSRM road estimate to mapped barangay/locality centre.</x:v>
      </x:c>
    </x:row>
    <x:row r="19" ht="48" customHeight="1">
      <x:c r="A19" s="2"/>
      <x:c r="B19" s="2" t="str">
        <x:v>Sublot large band starts (sqm)</x:v>
      </x:c>
      <x:c r="C19" s="53" t="n">
        <x:v>10000</x:v>
      </x:c>
      <x:c r="D19" s="18" t="str">
        <x:v>Inclusive lower threshold.</x:v>
      </x:c>
      <x:c r="E19" s="2"/>
      <x:c r="F19" s="2"/>
      <x:c r="G19" s="13" t="str">
        <x:v>Busay (island)</x:v>
      </x:c>
      <x:c r="H19" s="53" t="n">
        <x:v>16</x:v>
      </x:c>
      <x:c r="I19" s="44" t="n">
        <x:f>IF(G19="","",IF(OR(NOT(ISNUMBER(H19)),H19&lt;0,NOT(ISNUMBER($C$34)),NOT(ISNUMBER($C$35)),$C$34&lt;0,$C$35&lt;=0),"Check distance/rate",ROUND(H19/$C$35,0)*$C$34))</x:f>
        <x:v>1000</x:v>
      </x:c>
      <x:c r="J19" s="2"/>
      <x:c r="K19" s="18" t="str">
        <x:v>Existing island estimate retained.</x:v>
      </x:c>
    </x:row>
    <x:row r="20" ht="48" customHeight="1">
      <x:c r="A20" s="2"/>
      <x:c r="B20" s="2"/>
      <x:c r="C20" s="56"/>
      <x:c r="D20" s="20"/>
      <x:c r="E20" s="2"/>
      <x:c r="F20" s="2"/>
      <x:c r="G20" s="13" t="str">
        <x:v>Cabaluay</x:v>
      </x:c>
      <x:c r="H20" s="53" t="n">
        <x:v>17.8</x:v>
      </x:c>
      <x:c r="I20" s="44" t="n">
        <x:f>IF(G20="","",IF(OR(NOT(ISNUMBER(H20)),H20&lt;0,NOT(ISNUMBER($C$34)),NOT(ISNUMBER($C$35)),$C$34&lt;0,$C$35&lt;=0),"Check distance/rate",ROUND(H20/$C$35,0)*$C$34))</x:f>
        <x:v>1000</x:v>
      </x:c>
      <x:c r="J20" s="2"/>
      <x:c r="K20" s="18" t="str">
        <x:v>OSRM road estimate to barangay hall.</x:v>
      </x:c>
    </x:row>
    <x:row r="21" ht="48" customHeight="1">
      <x:c r="A21" s="2"/>
      <x:c r="B21" s="9" t="str">
        <x:v>Additional-area rates and thresholds</x:v>
      </x:c>
      <x:c r="C21" s="57"/>
      <x:c r="D21" s="39"/>
      <x:c r="E21" s="2"/>
      <x:c r="F21" s="2"/>
      <x:c r="G21" s="13" t="str">
        <x:v>Cabatangan</x:v>
      </x:c>
      <x:c r="H21" s="53" t="n">
        <x:v>7.3</x:v>
      </x:c>
      <x:c r="I21" s="44" t="n">
        <x:f>IF(G21="","",IF(OR(NOT(ISNUMBER(H21)),H21&lt;0,NOT(ISNUMBER($C$34)),NOT(ISNUMBER($C$35)),$C$34&lt;0,$C$35&lt;=0),"Check distance/rate",ROUND(H21/$C$35,0)*$C$34))</x:f>
        <x:v>500</x:v>
      </x:c>
      <x:c r="J21" s="2"/>
      <x:c r="K21" s="18" t="str">
        <x:v>OSRM road estimate to mapped barangay/locality centre.</x:v>
      </x:c>
    </x:row>
    <x:row r="22" ht="48" customHeight="1">
      <x:c r="A22" s="2"/>
      <x:c r="B22" s="2" t="str">
        <x:v>Reloc./Original: first tier / ha</x:v>
      </x:c>
      <x:c r="C22" s="51" t="n">
        <x:v>5000</x:v>
      </x:c>
      <x:c r="D22" s="18" t="str">
        <x:v>Above included area, up to first tier limit.</x:v>
      </x:c>
      <x:c r="E22" s="2"/>
      <x:c r="F22" s="2"/>
      <x:c r="G22" s="13" t="str">
        <x:v>Cacao</x:v>
      </x:c>
      <x:c r="H22" s="53" t="n">
        <x:v>22.4</x:v>
      </x:c>
      <x:c r="I22" s="44" t="n">
        <x:f>IF(G22="","",IF(OR(NOT(ISNUMBER(H22)),H22&lt;0,NOT(ISNUMBER($C$34)),NOT(ISNUMBER($C$35)),$C$34&lt;0,$C$35&lt;=0),"Check distance/rate",ROUND(H22/$C$35,0)*$C$34))</x:f>
        <x:v>1000</x:v>
      </x:c>
      <x:c r="J22" s="2"/>
      <x:c r="K22" s="18" t="str">
        <x:v>OSRM road estimate to mapped barangay/locality centre.</x:v>
      </x:c>
    </x:row>
    <x:row r="23" ht="48" customHeight="1">
      <x:c r="A23" s="2"/>
      <x:c r="B23" s="2" t="str">
        <x:v>Reloc./Original: second tier / ha</x:v>
      </x:c>
      <x:c r="C23" s="51" t="n">
        <x:v>3000</x:v>
      </x:c>
      <x:c r="D23" s="18" t="str">
        <x:v>Above first tier limit, up to second tier limit.</x:v>
      </x:c>
      <x:c r="E23" s="2"/>
      <x:c r="F23" s="2"/>
      <x:c r="G23" s="13" t="str">
        <x:v>Calabasa</x:v>
      </x:c>
      <x:c r="H23" s="53" t="n">
        <x:v>53.3</x:v>
      </x:c>
      <x:c r="I23" s="44" t="n">
        <x:f>IF(G23="","",IF(OR(NOT(ISNUMBER(H23)),H23&lt;0,NOT(ISNUMBER($C$34)),NOT(ISNUMBER($C$35)),$C$34&lt;0,$C$35&lt;=0),"Check distance/rate",ROUND(H23/$C$35,0)*$C$34))</x:f>
        <x:v>2500</x:v>
      </x:c>
      <x:c r="J23" s="2"/>
      <x:c r="K23" s="18" t="str">
        <x:v>OSRM road estimate to mapped barangay/locality centre.</x:v>
      </x:c>
    </x:row>
    <x:row r="24" ht="48" customHeight="1">
      <x:c r="A24" s="2"/>
      <x:c r="B24" s="2" t="str">
        <x:v>Reloc./Original: final tier / ha</x:v>
      </x:c>
      <x:c r="C24" s="51" t="n">
        <x:v>2500</x:v>
      </x:c>
      <x:c r="D24" s="18" t="str">
        <x:v>Above second tier limit.</x:v>
      </x:c>
      <x:c r="E24" s="2"/>
      <x:c r="F24" s="2"/>
      <x:c r="G24" s="13" t="str">
        <x:v>Calarian</x:v>
      </x:c>
      <x:c r="H24" s="53" t="n">
        <x:v>8.2</x:v>
      </x:c>
      <x:c r="I24" s="44" t="n">
        <x:f>IF(G24="","",IF(OR(NOT(ISNUMBER(H24)),H24&lt;0,NOT(ISNUMBER($C$34)),NOT(ISNUMBER($C$35)),$C$34&lt;0,$C$35&lt;=0),"Check distance/rate",ROUND(H24/$C$35,0)*$C$34))</x:f>
        <x:v>500</x:v>
      </x:c>
      <x:c r="J24" s="2"/>
      <x:c r="K24" s="18" t="str">
        <x:v>OSRM road estimate to mapped barangay/locality centre.</x:v>
      </x:c>
    </x:row>
    <x:row r="25" ht="48" customHeight="1">
      <x:c r="A25" s="2"/>
      <x:c r="B25" s="2" t="str">
        <x:v>Subdivision: first tier / ha</x:v>
      </x:c>
      <x:c r="C25" s="51" t="n">
        <x:v>4000</x:v>
      </x:c>
      <x:c r="D25" s="18" t="str">
        <x:v>Applies separately to each lot.</x:v>
      </x:c>
      <x:c r="E25" s="2"/>
      <x:c r="F25" s="2"/>
      <x:c r="G25" s="13" t="str">
        <x:v>Camino Nuevo</x:v>
      </x:c>
      <x:c r="H25" s="53" t="n">
        <x:v>2.8</x:v>
      </x:c>
      <x:c r="I25" s="44" t="n">
        <x:f>IF(G25="","",IF(OR(NOT(ISNUMBER(H25)),H25&lt;0,NOT(ISNUMBER($C$34)),NOT(ISNUMBER($C$35)),$C$34&lt;0,$C$35&lt;=0),"Check distance/rate",ROUND(H25/$C$35,0)*$C$34))</x:f>
        <x:v>0</x:v>
      </x:c>
      <x:c r="J25" s="2"/>
      <x:c r="K25" s="18" t="str">
        <x:v>OSRM road estimate to barangay hall.</x:v>
      </x:c>
    </x:row>
    <x:row r="26" ht="48" customHeight="1">
      <x:c r="A26" s="2"/>
      <x:c r="B26" s="2" t="str">
        <x:v>Subdivision: second tier / ha</x:v>
      </x:c>
      <x:c r="C26" s="51" t="n">
        <x:v>3000</x:v>
      </x:c>
      <x:c r="D26" s="18" t="str">
        <x:v>Applies separately to each lot.</x:v>
      </x:c>
      <x:c r="E26" s="2"/>
      <x:c r="F26" s="2"/>
      <x:c r="G26" s="13" t="str">
        <x:v>Campo Islam</x:v>
      </x:c>
      <x:c r="H26" s="53" t="n">
        <x:v>6.2</x:v>
      </x:c>
      <x:c r="I26" s="44" t="n">
        <x:f>IF(G26="","",IF(OR(NOT(ISNUMBER(H26)),H26&lt;0,NOT(ISNUMBER($C$34)),NOT(ISNUMBER($C$35)),$C$34&lt;0,$C$35&lt;=0),"Check distance/rate",ROUND(H26/$C$35,0)*$C$34))</x:f>
        <x:v>500</x:v>
      </x:c>
      <x:c r="J26" s="2"/>
      <x:c r="K26" s="18" t="str">
        <x:v>OSRM road estimate to mapped barangay/locality centre.</x:v>
      </x:c>
    </x:row>
    <x:row r="27" ht="48" customHeight="1">
      <x:c r="A27" s="2"/>
      <x:c r="B27" s="2" t="str">
        <x:v>Subdivision: final tier / ha</x:v>
      </x:c>
      <x:c r="C27" s="51" t="n">
        <x:v>2000</x:v>
      </x:c>
      <x:c r="D27" s="18" t="str">
        <x:v>Applies separately to each lot.</x:v>
      </x:c>
      <x:c r="E27" s="2"/>
      <x:c r="F27" s="2"/>
      <x:c r="G27" s="13" t="str">
        <x:v>Canelar</x:v>
      </x:c>
      <x:c r="H27" s="53" t="n">
        <x:v>3.3</x:v>
      </x:c>
      <x:c r="I27" s="44" t="n">
        <x:f>IF(G27="","",IF(OR(NOT(ISNUMBER(H27)),H27&lt;0,NOT(ISNUMBER($C$34)),NOT(ISNUMBER($C$35)),$C$34&lt;0,$C$35&lt;=0),"Check distance/rate",ROUND(H27/$C$35,0)*$C$34))</x:f>
        <x:v>0</x:v>
      </x:c>
      <x:c r="J27" s="2"/>
      <x:c r="K27" s="18" t="str">
        <x:v>OSRM road estimate to barangay hall.</x:v>
      </x:c>
    </x:row>
    <x:row r="28" ht="48" customHeight="1">
      <x:c r="A28" s="2"/>
      <x:c r="B28" s="2" t="str">
        <x:v>Included area (ha)</x:v>
      </x:c>
      <x:c r="C28" s="53" t="n">
        <x:v>1</x:v>
      </x:c>
      <x:c r="D28" s="18" t="str">
        <x:v>No area surcharge through this amount.</x:v>
      </x:c>
      <x:c r="E28" s="2"/>
      <x:c r="F28" s="2"/>
      <x:c r="G28" s="13" t="str">
        <x:v>Capisan</x:v>
      </x:c>
      <x:c r="H28" s="53" t="n">
        <x:v>15.6</x:v>
      </x:c>
      <x:c r="I28" s="44" t="n">
        <x:f>IF(G28="","",IF(OR(NOT(ISNUMBER(H28)),H28&lt;0,NOT(ISNUMBER($C$34)),NOT(ISNUMBER($C$35)),$C$34&lt;0,$C$35&lt;=0),"Check distance/rate",ROUND(H28/$C$35,0)*$C$34))</x:f>
        <x:v>1000</x:v>
      </x:c>
      <x:c r="J28" s="2"/>
      <x:c r="K28" s="18" t="str">
        <x:v>OSRM road estimate to barangay hall.</x:v>
      </x:c>
    </x:row>
    <x:row r="29" ht="48" customHeight="1">
      <x:c r="A29" s="2"/>
      <x:c r="B29" s="2" t="str">
        <x:v>First tier ends (ha)</x:v>
      </x:c>
      <x:c r="C29" s="53" t="n">
        <x:v>5</x:v>
      </x:c>
      <x:c r="D29" s="18" t="str">
        <x:v>Must exceed included area.</x:v>
      </x:c>
      <x:c r="E29" s="2"/>
      <x:c r="F29" s="2"/>
      <x:c r="G29" s="13" t="str">
        <x:v>Cawit</x:v>
      </x:c>
      <x:c r="H29" s="53" t="n">
        <x:v>15.1</x:v>
      </x:c>
      <x:c r="I29" s="44" t="n">
        <x:f>IF(G29="","",IF(OR(NOT(ISNUMBER(H29)),H29&lt;0,NOT(ISNUMBER($C$34)),NOT(ISNUMBER($C$35)),$C$34&lt;0,$C$35&lt;=0),"Check distance/rate",ROUND(H29/$C$35,0)*$C$34))</x:f>
        <x:v>1000</x:v>
      </x:c>
      <x:c r="J29" s="2"/>
      <x:c r="K29" s="18" t="str">
        <x:v>OSRM road estimate to mapped barangay/locality centre.</x:v>
      </x:c>
    </x:row>
    <x:row r="30" ht="48" customHeight="1">
      <x:c r="A30" s="2"/>
      <x:c r="B30" s="2" t="str">
        <x:v>Second tier ends (ha)</x:v>
      </x:c>
      <x:c r="C30" s="53" t="n">
        <x:v>10</x:v>
      </x:c>
      <x:c r="D30" s="18" t="str">
        <x:v>Must exceed first tier limit.</x:v>
      </x:c>
      <x:c r="E30" s="2"/>
      <x:c r="F30" s="2"/>
      <x:c r="G30" s="13" t="str">
        <x:v>Culianan</x:v>
      </x:c>
      <x:c r="H30" s="53" t="n">
        <x:v>10.9</x:v>
      </x:c>
      <x:c r="I30" s="44" t="n">
        <x:f>IF(G30="","",IF(OR(NOT(ISNUMBER(H30)),H30&lt;0,NOT(ISNUMBER($C$34)),NOT(ISNUMBER($C$35)),$C$34&lt;0,$C$35&lt;=0),"Check distance/rate",ROUND(H30/$C$35,0)*$C$34))</x:f>
        <x:v>500</x:v>
      </x:c>
      <x:c r="J30" s="2"/>
      <x:c r="K30" s="18" t="str">
        <x:v>OSRM road estimate to barangay hall.</x:v>
      </x:c>
    </x:row>
    <x:row r="31" ht="48" customHeight="1">
      <x:c r="A31" s="2"/>
      <x:c r="B31" s="2" t="str">
        <x:v>Area rounding increment (ha)</x:v>
      </x:c>
      <x:c r="C31" s="53" t="n">
        <x:v>0.5</x:v>
      </x:c>
      <x:c r="D31" s="18" t="str">
        <x:v>Round DOWN before calculating area surcharges.</x:v>
      </x:c>
      <x:c r="E31" s="2"/>
      <x:c r="F31" s="2"/>
      <x:c r="G31" s="13" t="str">
        <x:v>Curuan</x:v>
      </x:c>
      <x:c r="H31" s="53" t="n">
        <x:v>47.2</x:v>
      </x:c>
      <x:c r="I31" s="44" t="n">
        <x:f>IF(G31="","",IF(OR(NOT(ISNUMBER(H31)),H31&lt;0,NOT(ISNUMBER($C$34)),NOT(ISNUMBER($C$35)),$C$34&lt;0,$C$35&lt;=0),"Check distance/rate",ROUND(H31/$C$35,0)*$C$34))</x:f>
        <x:v>2500</x:v>
      </x:c>
      <x:c r="J31" s="2"/>
      <x:c r="K31" s="18" t="str">
        <x:v>OSRM road estimate to mapped barangay/locality centre.</x:v>
      </x:c>
    </x:row>
    <x:row r="32" ht="48" customHeight="1">
      <x:c r="A32" s="2"/>
      <x:c r="B32" s="2"/>
      <x:c r="C32" s="56"/>
      <x:c r="D32" s="20"/>
      <x:c r="E32" s="2"/>
      <x:c r="F32" s="2"/>
      <x:c r="G32" s="13" t="str">
        <x:v>Dita</x:v>
      </x:c>
      <x:c r="H32" s="53" t="n">
        <x:v>40.8</x:v>
      </x:c>
      <x:c r="I32" s="44" t="n">
        <x:f>IF(G32="","",IF(OR(NOT(ISNUMBER(H32)),H32&lt;0,NOT(ISNUMBER($C$34)),NOT(ISNUMBER($C$35)),$C$34&lt;0,$C$35&lt;=0),"Check distance/rate",ROUND(H32/$C$35,0)*$C$34))</x:f>
        <x:v>2000</x:v>
      </x:c>
      <x:c r="J32" s="2"/>
      <x:c r="K32" s="18" t="str">
        <x:v>OSRM road estimate to Dita Elementary School (reference landmark).</x:v>
      </x:c>
    </x:row>
    <x:row r="33" ht="48" customHeight="1">
      <x:c r="A33" s="2"/>
      <x:c r="B33" s="9" t="str">
        <x:v>Travel, report and quote rounding</x:v>
      </x:c>
      <x:c r="C33" s="57"/>
      <x:c r="D33" s="39"/>
      <x:c r="E33" s="2"/>
      <x:c r="F33" s="2"/>
      <x:c r="G33" s="13" t="str">
        <x:v>Divisoria</x:v>
      </x:c>
      <x:c r="H33" s="53" t="n">
        <x:v>4.3</x:v>
      </x:c>
      <x:c r="I33" s="44" t="n">
        <x:f>IF(G33="","",IF(OR(NOT(ISNUMBER(H33)),H33&lt;0,NOT(ISNUMBER($C$34)),NOT(ISNUMBER($C$35)),$C$34&lt;0,$C$35&lt;=0),"Check distance/rate",ROUND(H33/$C$35,0)*$C$34))</x:f>
        <x:v>0</x:v>
      </x:c>
      <x:c r="J33" s="2"/>
      <x:c r="K33" s="18" t="str">
        <x:v>OSRM road estimate to barangay hall.</x:v>
      </x:c>
    </x:row>
    <x:row r="34" ht="48" customHeight="1">
      <x:c r="A34" s="2"/>
      <x:c r="B34" s="2" t="str">
        <x:v>Travel charge / distance unit</x:v>
      </x:c>
      <x:c r="C34" s="51" t="n">
        <x:v>500</x:v>
      </x:c>
      <x:c r="D34" s="18" t="str">
        <x:v>PHP per distance unit below.</x:v>
      </x:c>
      <x:c r="E34" s="2"/>
      <x:c r="F34" s="2"/>
      <x:c r="G34" s="13" t="str">
        <x:v>Dulian (Upper Bunguiao)</x:v>
      </x:c>
      <x:c r="H34" s="53" t="n">
        <x:v>39.9</x:v>
      </x:c>
      <x:c r="I34" s="44" t="n">
        <x:f>IF(G34="","",IF(OR(NOT(ISNUMBER(H34)),H34&lt;0,NOT(ISNUMBER($C$34)),NOT(ISNUMBER($C$35)),$C$34&lt;0,$C$35&lt;=0),"Check distance/rate",ROUND(H34/$C$35,0)*$C$34))</x:f>
        <x:v>2000</x:v>
      </x:c>
      <x:c r="J34" s="2"/>
      <x:c r="K34" s="18" t="str">
        <x:v>OSRM road estimate to barangay hall.</x:v>
      </x:c>
    </x:row>
    <x:row r="35" ht="48" customHeight="1">
      <x:c r="A35" s="2"/>
      <x:c r="B35" s="2" t="str">
        <x:v>Travel distance unit (km)</x:v>
      </x:c>
      <x:c r="C35" s="53" t="n">
        <x:v>10</x:v>
      </x:c>
      <x:c r="D35" s="18" t="str">
        <x:v>Distance units round to the nearest whole unit.</x:v>
      </x:c>
      <x:c r="E35" s="2"/>
      <x:c r="F35" s="2"/>
      <x:c r="G35" s="13" t="str">
        <x:v>Dulian (Upper Pasonanca)</x:v>
      </x:c>
      <x:c r="H35" s="53" t="n">
        <x:v>12.1</x:v>
      </x:c>
      <x:c r="I35" s="44" t="n">
        <x:f>IF(G35="","",IF(OR(NOT(ISNUMBER(H35)),H35&lt;0,NOT(ISNUMBER($C$34)),NOT(ISNUMBER($C$35)),$C$34&lt;0,$C$35&lt;=0),"Check distance/rate",ROUND(H35/$C$35,0)*$C$34))</x:f>
        <x:v>500</x:v>
      </x:c>
      <x:c r="J35" s="2"/>
      <x:c r="K35" s="18" t="str">
        <x:v>OSRM road estimate to mapped barangay/locality centre.</x:v>
      </x:c>
    </x:row>
    <x:row r="36" ht="48" customHeight="1">
      <x:c r="A36" s="2"/>
      <x:c r="B36" s="2" t="str">
        <x:v>Survey report charge</x:v>
      </x:c>
      <x:c r="C36" s="51" t="n">
        <x:v>5000</x:v>
      </x:c>
      <x:c r="D36" s="18" t="str">
        <x:v>Added once when Survey report is Yes.</x:v>
      </x:c>
      <x:c r="E36" s="2"/>
      <x:c r="F36" s="2"/>
      <x:c r="G36" s="13" t="str">
        <x:v>Guisao</x:v>
      </x:c>
      <x:c r="H36" s="53" t="n">
        <x:v>14.6</x:v>
      </x:c>
      <x:c r="I36" s="44" t="n">
        <x:f>IF(G36="","",IF(OR(NOT(ISNUMBER(H36)),H36&lt;0,NOT(ISNUMBER($C$34)),NOT(ISNUMBER($C$35)),$C$34&lt;0,$C$35&lt;=0),"Check distance/rate",ROUND(H36/$C$35,0)*$C$34))</x:f>
        <x:v>500</x:v>
      </x:c>
      <x:c r="J36" s="2"/>
      <x:c r="K36" s="18" t="str">
        <x:v>OSRM road estimate to mapped barangay/locality centre.</x:v>
      </x:c>
    </x:row>
    <x:row r="37" ht="48" customHeight="1">
      <x:c r="A37" s="2"/>
      <x:c r="B37" s="2" t="str">
        <x:v>Final rounding increment (PHP)</x:v>
      </x:c>
      <x:c r="C37" s="51" t="n">
        <x:v>1000</x:v>
      </x:c>
      <x:c r="D37" s="18" t="str">
        <x:v>Round DOWN the combined quote to this amount.</x:v>
      </x:c>
      <x:c r="E37" s="2"/>
      <x:c r="F37" s="2"/>
      <x:c r="G37" s="13" t="str">
        <x:v>Guiwan</x:v>
      </x:c>
      <x:c r="H37" s="53" t="n">
        <x:v>1.6</x:v>
      </x:c>
      <x:c r="I37" s="44" t="n">
        <x:f>IF(G37="","",IF(OR(NOT(ISNUMBER(H37)),H37&lt;0,NOT(ISNUMBER($C$34)),NOT(ISNUMBER($C$35)),$C$34&lt;0,$C$35&lt;=0),"Check distance/rate",ROUND(H37/$C$35,0)*$C$34))</x:f>
        <x:v>0</x:v>
      </x:c>
      <x:c r="J37" s="2"/>
      <x:c r="K37" s="18" t="str">
        <x:v>OSRM road estimate to mapped barangay/locality centre.</x:v>
      </x:c>
    </x:row>
    <x:row r="38" ht="48" customHeight="1">
      <x:c r="A38" s="2"/>
      <x:c r="B38" s="9" t="str">
        <x:v>Original survey base price</x:v>
      </x:c>
      <x:c r="C38" s="57"/>
      <x:c r="D38" s="39"/>
      <x:c r="E38" s="2"/>
      <x:c r="F38" s="2"/>
      <x:c r="G38" s="13" t="str">
        <x:v>Kasanyangan</x:v>
      </x:c>
      <x:c r="H38" s="53" t="n">
        <x:v>1.7</x:v>
      </x:c>
      <x:c r="I38" s="44" t="n">
        <x:f>IF(G38="","",IF(OR(NOT(ISNUMBER(H38)),H38&lt;0,NOT(ISNUMBER($C$34)),NOT(ISNUMBER($C$35)),$C$34&lt;0,$C$35&lt;=0),"Check distance/rate",ROUND(H38/$C$35,0)*$C$34))</x:f>
        <x:v>0</x:v>
      </x:c>
      <x:c r="J38" s="2"/>
      <x:c r="K38" s="18" t="str">
        <x:v>OSRM road estimate to mapped barangay/locality centre.</x:v>
      </x:c>
    </x:row>
    <x:row r="39" ht="48" customHeight="1">
      <x:c r="A39" s="2"/>
      <x:c r="B39" s="2" t="str">
        <x:v>Original survey base</x:v>
      </x:c>
      <x:c r="C39" s="51" t="n">
        <x:v>30000</x:v>
      </x:c>
      <x:c r="D39" s="18" t="str">
        <x:v>One base for all lot sizes; shares relocation area rates.</x:v>
      </x:c>
      <x:c r="E39" s="2"/>
      <x:c r="F39" s="2"/>
      <x:c r="G39" s="13" t="str">
        <x:v>La Paz</x:v>
      </x:c>
      <x:c r="H39" s="53" t="n">
        <x:v>21.6</x:v>
      </x:c>
      <x:c r="I39" s="44" t="n">
        <x:f>IF(G39="","",IF(OR(NOT(ISNUMBER(H39)),H39&lt;0,NOT(ISNUMBER($C$34)),NOT(ISNUMBER($C$35)),$C$34&lt;0,$C$35&lt;=0),"Check distance/rate",ROUND(H39/$C$35,0)*$C$34))</x:f>
        <x:v>1000</x:v>
      </x:c>
      <x:c r="J39" s="2"/>
      <x:c r="K39" s="18" t="str">
        <x:v>OSRM road estimate to barangay hall.</x:v>
      </x:c>
    </x:row>
    <x:row r="40" ht="48" customHeight="1">
      <x:c r="A40" s="2"/>
      <x:c r="B40" s="2" t="str">
        <x:v>Rate maintenance</x:v>
      </x:c>
      <x:c r="C40" s="2"/>
      <x:c r="D40" s="20" t="str">
        <x:v>Change amber values; keep thresholds increasing. Use 0 for a waived fee.</x:v>
      </x:c>
      <x:c r="E40" s="2"/>
      <x:c r="F40" s="2"/>
      <x:c r="G40" s="13" t="str">
        <x:v>Labuan</x:v>
      </x:c>
      <x:c r="H40" s="53" t="n">
        <x:v>34.7</x:v>
      </x:c>
      <x:c r="I40" s="44" t="n">
        <x:f>IF(G40="","",IF(OR(NOT(ISNUMBER(H40)),H40&lt;0,NOT(ISNUMBER($C$34)),NOT(ISNUMBER($C$35)),$C$34&lt;0,$C$35&lt;=0),"Check distance/rate",ROUND(H40/$C$35,0)*$C$34))</x:f>
        <x:v>1500</x:v>
      </x:c>
      <x:c r="J40" s="2"/>
      <x:c r="K40" s="18" t="str">
        <x:v>OSRM road estimate to barangay hall.</x:v>
      </x:c>
    </x:row>
    <x:row r="41" ht="48" customHeight="1">
      <x:c r="A41" s="2"/>
      <x:c r="B41" s="2"/>
      <x:c r="C41" s="2"/>
      <x:c r="D41" s="20" t="str">
        <x:v>Blank or negative required rates stop the quote.</x:v>
      </x:c>
      <x:c r="E41" s="2"/>
      <x:c r="F41" s="2"/>
      <x:c r="G41" s="13" t="str">
        <x:v>Lamisahan</x:v>
      </x:c>
      <x:c r="H41" s="53" t="n">
        <x:v>27.9</x:v>
      </x:c>
      <x:c r="I41" s="44" t="n">
        <x:f>IF(G41="","",IF(OR(NOT(ISNUMBER(H41)),H41&lt;0,NOT(ISNUMBER($C$34)),NOT(ISNUMBER($C$35)),$C$34&lt;0,$C$35&lt;=0),"Check distance/rate",ROUND(H41/$C$35,0)*$C$34))</x:f>
        <x:v>1500</x:v>
      </x:c>
      <x:c r="J41" s="2"/>
      <x:c r="K41" s="18" t="str">
        <x:v>OSRM road access near mapped centre; 0.9 km unmapped approach. Use Manual km for site.</x:v>
      </x:c>
    </x:row>
    <x:row r="42" ht="48" customHeight="1">
      <x:c r="A42" s="2"/>
      <x:c r="B42" s="2"/>
      <x:c r="C42" s="2"/>
      <x:c r="D42" s="20"/>
      <x:c r="E42" s="2"/>
      <x:c r="F42" s="2"/>
      <x:c r="G42" s="13" t="str">
        <x:v>Landang Gua (island)</x:v>
      </x:c>
      <x:c r="H42" s="53" t="n">
        <x:v>15</x:v>
      </x:c>
      <x:c r="I42" s="44" t="n">
        <x:f>IF(G42="","",IF(OR(NOT(ISNUMBER(H42)),H42&lt;0,NOT(ISNUMBER($C$34)),NOT(ISNUMBER($C$35)),$C$34&lt;0,$C$35&lt;=0),"Check distance/rate",ROUND(H42/$C$35,0)*$C$34))</x:f>
        <x:v>1000</x:v>
      </x:c>
      <x:c r="J42" s="2"/>
      <x:c r="K42" s="18" t="str">
        <x:v>Existing island estimate retained.</x:v>
      </x:c>
    </x:row>
    <x:row r="43" ht="48" customHeight="1">
      <x:c r="A43" s="2"/>
      <x:c r="B43" s="2" t="str">
        <x:v>Source</x:v>
      </x:c>
      <x:c r="C43" s="2"/>
      <x:c r="D43" s="20" t="str">
        <x:v>ROSH ZGA Database; approved rate revisions, 21 Sep 2026.</x:v>
      </x:c>
      <x:c r="E43" s="2"/>
      <x:c r="F43" s="2"/>
      <x:c r="G43" s="13" t="str">
        <x:v>Landang Laum (island)</x:v>
      </x:c>
      <x:c r="H43" s="53"/>
      <x:c r="I43" s="44" t="str">
        <x:f>IF(G43="","",IF(OR(NOT(ISNUMBER(H43)),H43&lt;0,NOT(ISNUMBER($C$34)),NOT(ISNUMBER($C$35)),$C$34&lt;0,$C$35&lt;=0),"Check distance/rate",ROUND(H43/$C$35,0)*$C$34))</x:f>
        <x:v>Check distance/rate</x:v>
      </x:c>
      <x:c r="J43" s="2"/>
      <x:c r="K43" s="18" t="str">
        <x:v>New island destination; manual km required until estimate entered.</x:v>
      </x:c>
    </x:row>
    <x:row r="44" ht="48" customHeight="1">
      <x:c r="A44" s="2"/>
      <x:c r="B44" s="2"/>
      <x:c r="C44" s="2"/>
      <x:c r="D44" s="21" t="str">
        <x:v>https://docs.google.com/spreadsheets/d/1uFGOuIHkXiPfStX2m_i6X5t_jvM7w-0BqY22DcvbZNA/edit?gid=1010525051#gid=1010525051</x:v>
      </x:c>
      <x:c r="E44" s="2"/>
      <x:c r="F44" s="2"/>
      <x:c r="G44" s="13" t="str">
        <x:v>Lanzones</x:v>
      </x:c>
      <x:c r="H44" s="53" t="n">
        <x:v>16.3</x:v>
      </x:c>
      <x:c r="I44" s="44" t="n">
        <x:f>IF(G44="","",IF(OR(NOT(ISNUMBER(H44)),H44&lt;0,NOT(ISNUMBER($C$34)),NOT(ISNUMBER($C$35)),$C$34&lt;0,$C$35&lt;=0),"Check distance/rate",ROUND(H44/$C$35,0)*$C$34))</x:f>
        <x:v>1000</x:v>
      </x:c>
      <x:c r="J44" s="2"/>
      <x:c r="K44" s="18" t="str">
        <x:v>OSRM road estimate to mapped barangay/locality centre.</x:v>
      </x:c>
    </x:row>
    <x:row r="45" ht="48" customHeight="1">
      <x:c r="A45" s="2"/>
      <x:c r="B45" s="2"/>
      <x:c r="C45" s="2"/>
      <x:c r="D45" s="20"/>
      <x:c r="E45" s="2"/>
      <x:c r="F45" s="2"/>
      <x:c r="G45" s="13" t="str">
        <x:v>Lapakan</x:v>
      </x:c>
      <x:c r="H45" s="53" t="n">
        <x:v>24.1</x:v>
      </x:c>
      <x:c r="I45" s="44" t="n">
        <x:f>IF(G45="","",IF(OR(NOT(ISNUMBER(H45)),H45&lt;0,NOT(ISNUMBER($C$34)),NOT(ISNUMBER($C$35)),$C$34&lt;0,$C$35&lt;=0),"Check distance/rate",ROUND(H45/$C$35,0)*$C$34))</x:f>
        <x:v>1000</x:v>
      </x:c>
      <x:c r="J45" s="2"/>
      <x:c r="K45" s="18" t="str">
        <x:v>OSRM road estimate to mapped barangay/locality centre.</x:v>
      </x:c>
    </x:row>
    <x:row r="46" ht="76" customHeight="1">
      <x:c r="A46" s="2"/>
      <x:c r="B46" s="2" t="str">
        <x:v>Distance maintenance</x:v>
      </x:c>
      <x:c r="C46" s="2"/>
      <x:c r="D46" s="20" t="str">
        <x:v>Edit G7:H150. Keep names unique. A blank preset requires Manual km or a supplied estimate.</x:v>
      </x:c>
      <x:c r="E46" s="2"/>
      <x:c r="F46" s="2"/>
      <x:c r="G46" s="13" t="str">
        <x:v>Latuan</x:v>
      </x:c>
      <x:c r="H46" s="53" t="n">
        <x:v>52.5</x:v>
      </x:c>
      <x:c r="I46" s="44" t="n">
        <x:f>IF(G46="","",IF(OR(NOT(ISNUMBER(H46)),H46&lt;0,NOT(ISNUMBER($C$34)),NOT(ISNUMBER($C$35)),$C$34&lt;0,$C$35&lt;=0),"Check distance/rate",ROUND(H46/$C$35,0)*$C$34))</x:f>
        <x:v>2500</x:v>
      </x:c>
      <x:c r="J46" s="2"/>
      <x:c r="K46" s="18" t="str">
        <x:v>OSRM road estimate to mapped barangay/locality centre.</x:v>
      </x:c>
    </x:row>
    <x:row r="47" ht="76" customHeight="1">
      <x:c r="A47" s="2"/>
      <x:c r="B47" s="2"/>
      <x:c r="C47" s="2"/>
      <x:c r="D47" s="20" t="str">
        <x:v>Road estimates use mapped halls or locality centres. Route notes identify retained source estimates.</x:v>
      </x:c>
      <x:c r="E47" s="2"/>
      <x:c r="F47" s="2"/>
      <x:c r="G47" s="13" t="str">
        <x:v>Licomo</x:v>
      </x:c>
      <x:c r="H47" s="53" t="n">
        <x:v>86.1</x:v>
      </x:c>
      <x:c r="I47" s="44" t="n">
        <x:f>IF(G47="","",IF(OR(NOT(ISNUMBER(H47)),H47&lt;0,NOT(ISNUMBER($C$34)),NOT(ISNUMBER($C$35)),$C$34&lt;0,$C$35&lt;=0),"Check distance/rate",ROUND(H47/$C$35,0)*$C$34))</x:f>
        <x:v>4500</x:v>
      </x:c>
      <x:c r="J47" s="2"/>
      <x:c r="K47" s="18" t="str">
        <x:v>OSRM road estimate to mapped barangay/locality centre.</x:v>
      </x:c>
    </x:row>
    <x:row r="48" ht="76" customHeight="1">
      <x:c r="A48" s="2"/>
      <x:c r="B48" s="2"/>
      <x:c r="C48" s="2"/>
      <x:c r="D48" s="20" t="str">
        <x:v>Reference: Tetuan Barangay Hall. One-way travel km; no return-trip multiplier.</x:v>
      </x:c>
      <x:c r="E48" s="2"/>
      <x:c r="F48" s="2"/>
      <x:c r="G48" s="13" t="str">
        <x:v>Limaong (island)</x:v>
      </x:c>
      <x:c r="H48" s="53" t="n">
        <x:v>79</x:v>
      </x:c>
      <x:c r="I48" s="44" t="n">
        <x:f>IF(G48="","",IF(OR(NOT(ISNUMBER(H48)),H48&lt;0,NOT(ISNUMBER($C$34)),NOT(ISNUMBER($C$35)),$C$34&lt;0,$C$35&lt;=0),"Check distance/rate",ROUND(H48/$C$35,0)*$C$34))</x:f>
        <x:v>4000</x:v>
      </x:c>
      <x:c r="J48" s="2"/>
      <x:c r="K48" s="18" t="str">
        <x:v>Existing island estimate retained.</x:v>
      </x:c>
    </x:row>
    <x:row r="49" ht="48" customHeight="1">
      <x:c r="A49" s="2"/>
      <x:c r="B49" s="2"/>
      <x:c r="C49" s="2"/>
      <x:c r="D49" s="2"/>
      <x:c r="E49" s="2"/>
      <x:c r="F49" s="2"/>
      <x:c r="G49" s="13" t="str">
        <x:v>Limpapa</x:v>
      </x:c>
      <x:c r="H49" s="53" t="n">
        <x:v>41.8</x:v>
      </x:c>
      <x:c r="I49" s="44" t="n">
        <x:f>IF(G49="","",IF(OR(NOT(ISNUMBER(H49)),H49&lt;0,NOT(ISNUMBER($C$34)),NOT(ISNUMBER($C$35)),$C$34&lt;0,$C$35&lt;=0),"Check distance/rate",ROUND(H49/$C$35,0)*$C$34))</x:f>
        <x:v>2000</x:v>
      </x:c>
      <x:c r="J49" s="2"/>
      <x:c r="K49" s="18" t="str">
        <x:v>OSRM road estimate to mapped barangay/locality centre.</x:v>
      </x:c>
    </x:row>
    <x:row r="50" ht="48" customHeight="1">
      <x:c r="A50" s="2"/>
      <x:c r="B50" s="2"/>
      <x:c r="C50" s="2"/>
      <x:c r="D50" s="2"/>
      <x:c r="E50" s="2"/>
      <x:c r="F50" s="2"/>
      <x:c r="G50" s="13" t="str">
        <x:v>Lubigan</x:v>
      </x:c>
      <x:c r="H50" s="53" t="n">
        <x:v>38.2</x:v>
      </x:c>
      <x:c r="I50" s="44" t="n">
        <x:f>IF(G50="","",IF(OR(NOT(ISNUMBER(H50)),H50&lt;0,NOT(ISNUMBER($C$34)),NOT(ISNUMBER($C$35)),$C$34&lt;0,$C$35&lt;=0),"Check distance/rate",ROUND(H50/$C$35,0)*$C$34))</x:f>
        <x:v>2000</x:v>
      </x:c>
      <x:c r="J50" s="2"/>
      <x:c r="K50" s="18" t="str">
        <x:v>OSRM road estimate to mapped barangay/locality centre.</x:v>
      </x:c>
    </x:row>
    <x:row r="51" ht="76" customHeight="1">
      <x:c r="A51" s="2"/>
      <x:c r="B51" s="2" t="str">
        <x:v>Location review</x:v>
      </x:c>
      <x:c r="C51" s="2"/>
      <x:c r="D51" s="20" t="str">
        <x:v>98 PSA barangays plus San Ramon (Talisayan locality). Checked 22 Sep 2026.</x:v>
      </x:c>
      <x:c r="E51" s="2"/>
      <x:c r="F51" s="2"/>
      <x:c r="G51" s="13" t="str">
        <x:v>Lumayang</x:v>
      </x:c>
      <x:c r="H51" s="53" t="n">
        <x:v>10.8</x:v>
      </x:c>
      <x:c r="I51" s="44" t="n">
        <x:f>IF(G51="","",IF(OR(NOT(ISNUMBER(H51)),H51&lt;0,NOT(ISNUMBER($C$34)),NOT(ISNUMBER($C$35)),$C$34&lt;0,$C$35&lt;=0),"Check distance/rate",ROUND(H51/$C$35,0)*$C$34))</x:f>
        <x:v>500</x:v>
      </x:c>
      <x:c r="J51" s="2"/>
      <x:c r="K51" s="18" t="str">
        <x:v>OSRM road estimate to mapped barangay/locality centre.</x:v>
      </x:c>
    </x:row>
    <x:row r="52" ht="76" customHeight="1">
      <x:c r="A52" s="2"/>
      <x:c r="B52" s="2" t="str">
        <x:v>Distance source</x:v>
      </x:c>
      <x:c r="C52" s="2"/>
      <x:c r="D52" s="20" t="str">
        <x:v>PSA barangay list: https://psa.gov.ph/classification/psgc/barangays/0931700000</x:v>
      </x:c>
      <x:c r="E52" s="2"/>
      <x:c r="F52" s="2"/>
      <x:c r="G52" s="13" t="str">
        <x:v>Lumbangan</x:v>
      </x:c>
      <x:c r="H52" s="53" t="n">
        <x:v>8.7</x:v>
      </x:c>
      <x:c r="I52" s="44" t="n">
        <x:f>IF(G52="","",IF(OR(NOT(ISNUMBER(H52)),H52&lt;0,NOT(ISNUMBER($C$34)),NOT(ISNUMBER($C$35)),$C$34&lt;0,$C$35&lt;=0),"Check distance/rate",ROUND(H52/$C$35,0)*$C$34))</x:f>
        <x:v>500</x:v>
      </x:c>
      <x:c r="J52" s="2"/>
      <x:c r="K52" s="18" t="str">
        <x:v>OSRM road estimate to mapped barangay/locality centre.</x:v>
      </x:c>
    </x:row>
    <x:row r="53" ht="76" customHeight="1">
      <x:c r="A53" s="2"/>
      <x:c r="B53" s="2" t="str">
        <x:v>Origin</x:v>
      </x:c>
      <x:c r="C53" s="2"/>
      <x:c r="D53" s="20" t="str">
        <x:v>Tetuan Barangay Hall: 6.9175351 N, 122.0909369 E. User-approved reference near the office.</x:v>
      </x:c>
      <x:c r="E53" s="2"/>
      <x:c r="F53" s="2"/>
      <x:c r="G53" s="13" t="str">
        <x:v>Lunzuran</x:v>
      </x:c>
      <x:c r="H53" s="53" t="n">
        <x:v>4.2</x:v>
      </x:c>
      <x:c r="I53" s="44" t="n">
        <x:f>IF(G53="","",IF(OR(NOT(ISNUMBER(H53)),H53&lt;0,NOT(ISNUMBER($C$34)),NOT(ISNUMBER($C$35)),$C$34&lt;0,$C$35&lt;=0),"Check distance/rate",ROUND(H53/$C$35,0)*$C$34))</x:f>
        <x:v>0</x:v>
      </x:c>
      <x:c r="J53" s="2"/>
      <x:c r="K53" s="18" t="str">
        <x:v>OSRM road estimate to barangay hall.</x:v>
      </x:c>
    </x:row>
    <x:row r="54" ht="48" customHeight="1">
      <x:c r="A54" s="2"/>
      <x:c r="B54" s="2" t="str">
        <x:v>Travel policy</x:v>
      </x:c>
      <x:c r="C54" s="2"/>
      <x:c r="D54" s="20" t="str">
        <x:v>Approved Negros-style travel: rounded km / 10 × PHP 500. No free-distance allowance.</x:v>
      </x:c>
      <x:c r="E54" s="2"/>
      <x:c r="F54" s="2"/>
      <x:c r="G54" s="13" t="str">
        <x:v>Maasin</x:v>
      </x:c>
      <x:c r="H54" s="53" t="n">
        <x:v>15.2</x:v>
      </x:c>
      <x:c r="I54" s="44" t="n">
        <x:f>IF(G54="","",IF(OR(NOT(ISNUMBER(H54)),H54&lt;0,NOT(ISNUMBER($C$34)),NOT(ISNUMBER($C$35)),$C$34&lt;0,$C$35&lt;=0),"Check distance/rate",ROUND(H54/$C$35,0)*$C$34))</x:f>
        <x:v>1000</x:v>
      </x:c>
      <x:c r="J54" s="2"/>
      <x:c r="K54" s="18" t="str">
        <x:v>OSRM road estimate to barangay hall.</x:v>
      </x:c>
    </x:row>
    <x:row r="55" ht="48" customHeight="1">
      <x:c r="A55" s="2"/>
      <x:c r="B55" s="2" t="str">
        <x:v>Rate revisions</x:v>
      </x:c>
      <x:c r="C55" s="2"/>
      <x:c r="D55" s="20" t="str">
        <x:v>Approved prices and thresholds match Negros, including the PHP 13,000 remaining-lot base.</x:v>
      </x:c>
      <x:c r="E55" s="2"/>
      <x:c r="F55" s="2"/>
      <x:c r="G55" s="13" t="str">
        <x:v>Malagutay</x:v>
      </x:c>
      <x:c r="H55" s="53" t="n">
        <x:v>10.7</x:v>
      </x:c>
      <x:c r="I55" s="44" t="n">
        <x:f>IF(G55="","",IF(OR(NOT(ISNUMBER(H55)),H55&lt;0,NOT(ISNUMBER($C$34)),NOT(ISNUMBER($C$35)),$C$34&lt;0,$C$35&lt;=0),"Check distance/rate",ROUND(H55/$C$35,0)*$C$34))</x:f>
        <x:v>500</x:v>
      </x:c>
      <x:c r="J55" s="2"/>
      <x:c r="K55" s="18" t="str">
        <x:v>OSRM road estimate to barangay hall.</x:v>
      </x:c>
    </x:row>
    <x:row r="56" ht="48" customHeight="1">
      <x:c r="A56" s="2"/>
      <x:c r="B56" s="2" t="str">
        <x:v>Original Survey</x:v>
      </x:c>
      <x:c r="C56" s="2"/>
      <x:c r="D56" s="20" t="str">
        <x:v>Approved base PHP 30,000 plus relocation area surcharges.</x:v>
      </x:c>
      <x:c r="E56" s="2"/>
      <x:c r="F56" s="2"/>
      <x:c r="G56" s="13" t="str">
        <x:v>Mampang</x:v>
      </x:c>
      <x:c r="H56" s="53" t="n">
        <x:v>5.5</x:v>
      </x:c>
      <x:c r="I56" s="44" t="n">
        <x:f>IF(G56="","",IF(OR(NOT(ISNUMBER(H56)),H56&lt;0,NOT(ISNUMBER($C$34)),NOT(ISNUMBER($C$35)),$C$34&lt;0,$C$35&lt;=0),"Check distance/rate",ROUND(H56/$C$35,0)*$C$34))</x:f>
        <x:v>500</x:v>
      </x:c>
      <x:c r="J56" s="2"/>
      <x:c r="K56" s="18" t="str">
        <x:v>OSRM road estimate to mapped barangay/locality centre.</x:v>
      </x:c>
    </x:row>
    <x:row r="57" ht="48" customHeight="1">
      <x:c r="A57" s="2"/>
      <x:c r="B57" s="2" t="str">
        <x:v>Travel inclusions</x:v>
      </x:c>
      <x:c r="C57" s="2"/>
      <x:c r="D57" s="20" t="str">
        <x:v>Travel pricing includes ferry fares, tolls and overnight expenses. No separate charges.</x:v>
      </x:c>
      <x:c r="E57" s="2"/>
      <x:c r="F57" s="2"/>
      <x:c r="G57" s="13" t="str">
        <x:v>Manalipa (island)</x:v>
      </x:c>
      <x:c r="H57" s="53"/>
      <x:c r="I57" s="44" t="str">
        <x:f>IF(G57="","",IF(OR(NOT(ISNUMBER(H57)),H57&lt;0,NOT(ISNUMBER($C$34)),NOT(ISNUMBER($C$35)),$C$34&lt;0,$C$35&lt;=0),"Check distance/rate",ROUND(H57/$C$35,0)*$C$34))</x:f>
        <x:v>Check distance/rate</x:v>
      </x:c>
      <x:c r="J57" s="2"/>
      <x:c r="K57" s="18" t="str">
        <x:v>New island destination; manual km required until estimate entered.</x:v>
      </x:c>
    </x:row>
    <x:row r="58" ht="48" customHeight="1">
      <x:c r="A58" s="2"/>
      <x:c r="B58" s="2" t="str">
        <x:v>Scope</x:v>
      </x:c>
      <x:c r="C58" s="2"/>
      <x:c r="D58" s="20" t="str">
        <x:v>Zambo Pricing only. Source project trackers are excluded.</x:v>
      </x:c>
      <x:c r="E58" s="2"/>
      <x:c r="F58" s="2"/>
      <x:c r="G58" s="13" t="str">
        <x:v>Mangusu</x:v>
      </x:c>
      <x:c r="H58" s="53" t="n">
        <x:v>70.8</x:v>
      </x:c>
      <x:c r="I58" s="44" t="n">
        <x:f>IF(G58="","",IF(OR(NOT(ISNUMBER(H58)),H58&lt;0,NOT(ISNUMBER($C$34)),NOT(ISNUMBER($C$35)),$C$34&lt;0,$C$35&lt;=0),"Check distance/rate",ROUND(H58/$C$35,0)*$C$34))</x:f>
        <x:v>3500</x:v>
      </x:c>
      <x:c r="J58" s="2"/>
      <x:c r="K58" s="18" t="str">
        <x:v>OSRM road estimate to mapped barangay/locality centre.</x:v>
      </x:c>
    </x:row>
    <x:row r="59" ht="76" customHeight="1">
      <x:c r="A59" s="2"/>
      <x:c r="B59" s="2" t="str">
        <x:v>Manual distance</x:v>
      </x:c>
      <x:c r="C59" s="2"/>
      <x:c r="D59" s="20" t="str">
        <x:v>Manual km replaces the preset. For islands, keep the same travel rate; no additional island surcharge.</x:v>
      </x:c>
      <x:c r="E59" s="2"/>
      <x:c r="F59" s="2"/>
      <x:c r="G59" s="13" t="str">
        <x:v>Manicahan</x:v>
      </x:c>
      <x:c r="H59" s="53" t="n">
        <x:v>22</x:v>
      </x:c>
      <x:c r="I59" s="44" t="n">
        <x:f>IF(G59="","",IF(OR(NOT(ISNUMBER(H59)),H59&lt;0,NOT(ISNUMBER($C$34)),NOT(ISNUMBER($C$35)),$C$34&lt;0,$C$35&lt;=0),"Check distance/rate",ROUND(H59/$C$35,0)*$C$34))</x:f>
        <x:v>1000</x:v>
      </x:c>
      <x:c r="J59" s="2"/>
      <x:c r="K59" s="18" t="str">
        <x:v>OSRM road estimate to barangay hall.</x:v>
      </x:c>
    </x:row>
    <x:row r="60" ht="48" customHeight="1">
      <x:c r="A60" s="2"/>
      <x:c r="B60" s="2" t="str">
        <x:v>Maintenance</x:v>
      </x:c>
      <x:c r="C60" s="2"/>
      <x:c r="D60" s="20" t="str">
        <x:v>Rates remain editable. Save an issued quote separately to preserve its applied rates.</x:v>
      </x:c>
      <x:c r="E60" s="2"/>
      <x:c r="F60" s="2"/>
      <x:c r="G60" s="13" t="str">
        <x:v>Mariki</x:v>
      </x:c>
      <x:c r="H60" s="53" t="n">
        <x:v>3.6</x:v>
      </x:c>
      <x:c r="I60" s="44" t="n">
        <x:f>IF(G60="","",IF(OR(NOT(ISNUMBER(H60)),H60&lt;0,NOT(ISNUMBER($C$34)),NOT(ISNUMBER($C$35)),$C$34&lt;0,$C$35&lt;=0),"Check distance/rate",ROUND(H60/$C$35,0)*$C$34))</x:f>
        <x:v>0</x:v>
      </x:c>
      <x:c r="J60" s="2"/>
      <x:c r="K60" s="18" t="str">
        <x:v>OSRM road estimate to mapped barangay/locality centre.</x:v>
      </x:c>
    </x:row>
    <x:row r="61" ht="48" customHeight="1">
      <x:c r="G61" s="13" t="str">
        <x:v>Mercedes</x:v>
      </x:c>
      <x:c r="H61" s="53" t="n">
        <x:v>10.9</x:v>
      </x:c>
      <x:c r="I61" s="52" t="n">
        <x:f>IF(G61="","",IF(OR(NOT(ISNUMBER(H61)),H61&lt;0,NOT(ISNUMBER($C$34)),NOT(ISNUMBER($C$35)),$C$34&lt;0,$C$35&lt;=0),"Check distance/rate",ROUND(H61/$C$35,0)*$C$34))</x:f>
        <x:v>500</x:v>
      </x:c>
      <x:c r="K61" s="18" t="str">
        <x:v>OSRM road estimate to mapped barangay/locality centre.</x:v>
      </x:c>
    </x:row>
    <x:row r="62" ht="112" customHeight="1">
      <x:c r="B62" s="30" t="str">
        <x:v>Map sources</x:v>
      </x:c>
      <x:c r="C62" s="30"/>
      <x:c r="D62" s="31" t="str">
        <x:v>Road estimates: OpenStreetMap contributors (ODbL), Nominatim and OSRM; retrieved 22 Sep 2026. https://www.openstreetmap.org/copyright | https://project-osrm.org/</x:v>
      </x:c>
      <x:c r="G62" s="13" t="str">
        <x:v>Muti</x:v>
      </x:c>
      <x:c r="H62" s="53" t="n">
        <x:v>58.5</x:v>
      </x:c>
      <x:c r="I62" s="52" t="n">
        <x:f>IF(G62="","",IF(OR(NOT(ISNUMBER(H62)),H62&lt;0,NOT(ISNUMBER($C$34)),NOT(ISNUMBER($C$35)),$C$34&lt;0,$C$35&lt;=0),"Check distance/rate",ROUND(H62/$C$35,0)*$C$34))</x:f>
        <x:v>3000</x:v>
      </x:c>
      <x:c r="K62" s="18" t="str">
        <x:v>OSRM road estimate to mapped barangay/locality centre.</x:v>
      </x:c>
    </x:row>
    <x:row r="63" ht="76" customHeight="1">
      <x:c r="B63" s="30" t="str">
        <x:v>Distance basis</x:v>
      </x:c>
      <x:c r="C63" s="30"/>
      <x:c r="D63" s="31" t="str">
        <x:v>One-way mapped driving routes, rounded to 0.1 km. Halls are preferred; centre endpoints are labelled. These are planning estimates, not actual survey-site routes.</x:v>
      </x:c>
      <x:c r="G63" s="13" t="str">
        <x:v>Pamucutan</x:v>
      </x:c>
      <x:c r="H63" s="53" t="n">
        <x:v>23.2</x:v>
      </x:c>
      <x:c r="I63" s="52" t="n">
        <x:f>IF(G63="","",IF(OR(NOT(ISNUMBER(H63)),H63&lt;0,NOT(ISNUMBER($C$34)),NOT(ISNUMBER($C$35)),$C$34&lt;0,$C$35&lt;=0),"Check distance/rate",ROUND(H63/$C$35,0)*$C$34))</x:f>
        <x:v>1000</x:v>
      </x:c>
      <x:c r="K63" s="18" t="str">
        <x:v>OSRM road estimate to barangay hall.</x:v>
      </x:c>
    </x:row>
    <x:row r="64" ht="112" customHeight="1">
      <x:c r="B64" s="30" t="str">
        <x:v>Island names</x:v>
      </x:c>
      <x:c r="C64" s="30"/>
      <x:c r="D64" s="31" t="str">
        <x:v>City CLUP identifies island destinations. Existing island km are retained. https://zamboangacity.gov.ph/wp-content/uploads/2026/04/Volume-I.-2016-2025-CLUP-Zamboanga-City.pdf</x:v>
      </x:c>
      <x:c r="G64" s="13" t="str">
        <x:v>Pangapuyan (island)</x:v>
      </x:c>
      <x:c r="H64" s="53" t="n">
        <x:v>20</x:v>
      </x:c>
      <x:c r="I64" s="52" t="n">
        <x:f>IF(G64="","",IF(OR(NOT(ISNUMBER(H64)),H64&lt;0,NOT(ISNUMBER($C$34)),NOT(ISNUMBER($C$35)),$C$34&lt;0,$C$35&lt;=0),"Check distance/rate",ROUND(H64/$C$35,0)*$C$34))</x:f>
        <x:v>1000</x:v>
      </x:c>
      <x:c r="K64" s="18" t="str">
        <x:v>Existing island estimate retained.</x:v>
      </x:c>
    </x:row>
    <x:row r="65" ht="76" customHeight="1">
      <x:c r="B65" s="30" t="str">
        <x:v>Missing island presets</x:v>
      </x:c>
      <x:c r="C65" s="30"/>
      <x:c r="D65" s="31" t="str">
        <x:v>Landang Laum, Manalipa and Tumitus: enter Manual km or a supported preset in column H. No zero-distance assumption.</x:v>
      </x:c>
      <x:c r="G65" s="13" t="str">
        <x:v>Panubigan</x:v>
      </x:c>
      <x:c r="H65" s="53" t="n">
        <x:v>39.4</x:v>
      </x:c>
      <x:c r="I65" s="52" t="n">
        <x:f>IF(G65="","",IF(OR(NOT(ISNUMBER(H65)),H65&lt;0,NOT(ISNUMBER($C$34)),NOT(ISNUMBER($C$35)),$C$34&lt;0,$C$35&lt;=0),"Check distance/rate",ROUND(H65/$C$35,0)*$C$34))</x:f>
        <x:v>2000</x:v>
      </x:c>
      <x:c r="K65" s="18" t="str">
        <x:v>OSRM road estimate to barangay hall.</x:v>
      </x:c>
    </x:row>
    <x:row r="66" ht="48" customHeight="1">
      <x:c r="G66" s="13" t="str">
        <x:v>Pasilmanta (island)</x:v>
      </x:c>
      <x:c r="H66" s="53" t="n">
        <x:v>13</x:v>
      </x:c>
      <x:c r="I66" s="52" t="n">
        <x:f>IF(G66="","",IF(OR(NOT(ISNUMBER(H66)),H66&lt;0,NOT(ISNUMBER($C$34)),NOT(ISNUMBER($C$35)),$C$34&lt;0,$C$35&lt;=0),"Check distance/rate",ROUND(H66/$C$35,0)*$C$34))</x:f>
        <x:v>500</x:v>
      </x:c>
      <x:c r="K66" s="18" t="str">
        <x:v>Existing island estimate retained.</x:v>
      </x:c>
    </x:row>
    <x:row r="67" ht="48" customHeight="1">
      <x:c r="G67" s="13" t="str">
        <x:v>Pasobolong</x:v>
      </x:c>
      <x:c r="H67" s="53" t="n">
        <x:v>9.8</x:v>
      </x:c>
      <x:c r="I67" s="52" t="n">
        <x:f>IF(G67="","",IF(OR(NOT(ISNUMBER(H67)),H67&lt;0,NOT(ISNUMBER($C$34)),NOT(ISNUMBER($C$35)),$C$34&lt;0,$C$35&lt;=0),"Check distance/rate",ROUND(H67/$C$35,0)*$C$34))</x:f>
        <x:v>500</x:v>
      </x:c>
      <x:c r="K67" s="18" t="str">
        <x:v>OSRM road estimate to mapped barangay/locality centre.</x:v>
      </x:c>
    </x:row>
    <x:row r="68" ht="48" customHeight="1">
      <x:c r="G68" s="13" t="str">
        <x:v>Pasonanca</x:v>
      </x:c>
      <x:c r="H68" s="53" t="n">
        <x:v>6.8</x:v>
      </x:c>
      <x:c r="I68" s="52" t="n">
        <x:f>IF(G68="","",IF(OR(NOT(ISNUMBER(H68)),H68&lt;0,NOT(ISNUMBER($C$34)),NOT(ISNUMBER($C$35)),$C$34&lt;0,$C$35&lt;=0),"Check distance/rate",ROUND(H68/$C$35,0)*$C$34))</x:f>
        <x:v>500</x:v>
      </x:c>
      <x:c r="K68" s="18" t="str">
        <x:v>OSRM road estimate to barangay hall.</x:v>
      </x:c>
    </x:row>
    <x:row r="69" ht="48" customHeight="1">
      <x:c r="G69" s="13" t="str">
        <x:v>Patalon</x:v>
      </x:c>
      <x:c r="H69" s="53" t="n">
        <x:v>29.5</x:v>
      </x:c>
      <x:c r="I69" s="52" t="n">
        <x:f>IF(G69="","",IF(OR(NOT(ISNUMBER(H69)),H69&lt;0,NOT(ISNUMBER($C$34)),NOT(ISNUMBER($C$35)),$C$34&lt;0,$C$35&lt;=0),"Check distance/rate",ROUND(H69/$C$35,0)*$C$34))</x:f>
        <x:v>1500</x:v>
      </x:c>
      <x:c r="K69" s="18" t="str">
        <x:v>OSRM road estimate to barangay hall.</x:v>
      </x:c>
    </x:row>
    <x:row r="70" ht="48" customHeight="1">
      <x:c r="G70" s="13" t="str">
        <x:v>Putik</x:v>
      </x:c>
      <x:c r="H70" s="53" t="n">
        <x:v>3.5</x:v>
      </x:c>
      <x:c r="I70" s="52" t="n">
        <x:f>IF(G70="","",IF(OR(NOT(ISNUMBER(H70)),H70&lt;0,NOT(ISNUMBER($C$34)),NOT(ISNUMBER($C$35)),$C$34&lt;0,$C$35&lt;=0),"Check distance/rate",ROUND(H70/$C$35,0)*$C$34))</x:f>
        <x:v>0</x:v>
      </x:c>
      <x:c r="K70" s="18" t="str">
        <x:v>OSRM road estimate to barangay hall.</x:v>
      </x:c>
    </x:row>
    <x:row r="71" ht="48" customHeight="1">
      <x:c r="G71" s="13" t="str">
        <x:v>Quiniput</x:v>
      </x:c>
      <x:c r="H71" s="53" t="n">
        <x:v>43.8</x:v>
      </x:c>
      <x:c r="I71" s="52" t="n">
        <x:f>IF(G71="","",IF(OR(NOT(ISNUMBER(H71)),H71&lt;0,NOT(ISNUMBER($C$34)),NOT(ISNUMBER($C$35)),$C$34&lt;0,$C$35&lt;=0),"Check distance/rate",ROUND(H71/$C$35,0)*$C$34))</x:f>
        <x:v>2000</x:v>
      </x:c>
      <x:c r="K71" s="18" t="str">
        <x:v>OSRM road estimate to mapped barangay/locality centre.</x:v>
      </x:c>
    </x:row>
    <x:row r="72" ht="48" customHeight="1">
      <x:c r="G72" s="13" t="str">
        <x:v>Recodo</x:v>
      </x:c>
      <x:c r="H72" s="53" t="n">
        <x:v>16.1</x:v>
      </x:c>
      <x:c r="I72" s="52" t="n">
        <x:f>IF(G72="","",IF(OR(NOT(ISNUMBER(H72)),H72&lt;0,NOT(ISNUMBER($C$34)),NOT(ISNUMBER($C$35)),$C$34&lt;0,$C$35&lt;=0),"Check distance/rate",ROUND(H72/$C$35,0)*$C$34))</x:f>
        <x:v>1000</x:v>
      </x:c>
      <x:c r="K72" s="18" t="str">
        <x:v>OSRM road estimate to barangay hall.</x:v>
      </x:c>
    </x:row>
    <x:row r="73" ht="48" customHeight="1">
      <x:c r="G73" s="13" t="str">
        <x:v>Rio Hondo</x:v>
      </x:c>
      <x:c r="H73" s="53" t="n">
        <x:v>3.6</x:v>
      </x:c>
      <x:c r="I73" s="52" t="n">
        <x:f>IF(G73="","",IF(OR(NOT(ISNUMBER(H73)),H73&lt;0,NOT(ISNUMBER($C$34)),NOT(ISNUMBER($C$35)),$C$34&lt;0,$C$35&lt;=0),"Check distance/rate",ROUND(H73/$C$35,0)*$C$34))</x:f>
        <x:v>0</x:v>
      </x:c>
      <x:c r="K73" s="18" t="str">
        <x:v>OSRM road estimate to mapped barangay/locality centre.</x:v>
      </x:c>
    </x:row>
    <x:row r="74" ht="48" customHeight="1">
      <x:c r="G74" s="13" t="str">
        <x:v>Salaan</x:v>
      </x:c>
      <x:c r="H74" s="53" t="n">
        <x:v>10.7</x:v>
      </x:c>
      <x:c r="I74" s="52" t="n">
        <x:f>IF(G74="","",IF(OR(NOT(ISNUMBER(H74)),H74&lt;0,NOT(ISNUMBER($C$34)),NOT(ISNUMBER($C$35)),$C$34&lt;0,$C$35&lt;=0),"Check distance/rate",ROUND(H74/$C$35,0)*$C$34))</x:f>
        <x:v>500</x:v>
      </x:c>
      <x:c r="K74" s="18" t="str">
        <x:v>OSRM road estimate to barangay hall.</x:v>
      </x:c>
    </x:row>
    <x:row r="75" ht="48" customHeight="1">
      <x:c r="G75" s="13" t="str">
        <x:v>San Jose Cawa-cawa</x:v>
      </x:c>
      <x:c r="H75" s="53" t="n">
        <x:v>3.3</x:v>
      </x:c>
      <x:c r="I75" s="52" t="n">
        <x:f>IF(G75="","",IF(OR(NOT(ISNUMBER(H75)),H75&lt;0,NOT(ISNUMBER($C$34)),NOT(ISNUMBER($C$35)),$C$34&lt;0,$C$35&lt;=0),"Check distance/rate",ROUND(H75/$C$35,0)*$C$34))</x:f>
        <x:v>0</x:v>
      </x:c>
      <x:c r="K75" s="18" t="str">
        <x:v>OSRM road estimate to barangay hall.</x:v>
      </x:c>
    </x:row>
    <x:row r="76" ht="48" customHeight="1">
      <x:c r="G76" s="13" t="str">
        <x:v>San Jose Gusu</x:v>
      </x:c>
      <x:c r="H76" s="53" t="n">
        <x:v>4.9</x:v>
      </x:c>
      <x:c r="I76" s="52" t="n">
        <x:f>IF(G76="","",IF(OR(NOT(ISNUMBER(H76)),H76&lt;0,NOT(ISNUMBER($C$34)),NOT(ISNUMBER($C$35)),$C$34&lt;0,$C$35&lt;=0),"Check distance/rate",ROUND(H76/$C$35,0)*$C$34))</x:f>
        <x:v>0</x:v>
      </x:c>
      <x:c r="K76" s="18" t="str">
        <x:v>OSRM road estimate to mapped barangay/locality centre.</x:v>
      </x:c>
    </x:row>
    <x:row r="77" ht="48" customHeight="1">
      <x:c r="G77" s="13" t="str">
        <x:v>San Ramon (Talisayan locality)</x:v>
      </x:c>
      <x:c r="H77" s="53" t="n">
        <x:v>22.4</x:v>
      </x:c>
      <x:c r="I77" s="52" t="n">
        <x:f>IF(G77="","",IF(OR(NOT(ISNUMBER(H77)),H77&lt;0,NOT(ISNUMBER($C$34)),NOT(ISNUMBER($C$35)),$C$34&lt;0,$C$35&lt;=0),"Check distance/rate",ROUND(H77/$C$35,0)*$C$34))</x:f>
        <x:v>1000</x:v>
      </x:c>
      <x:c r="K77" s="18" t="str">
        <x:v>OSRM road estimate to mapped barangay/locality centre. Locality within Talisayan.</x:v>
      </x:c>
    </x:row>
    <x:row r="78" ht="48" customHeight="1">
      <x:c r="G78" s="13" t="str">
        <x:v>San Roque</x:v>
      </x:c>
      <x:c r="H78" s="53" t="n">
        <x:v>6.7</x:v>
      </x:c>
      <x:c r="I78" s="52" t="n">
        <x:f>IF(G78="","",IF(OR(NOT(ISNUMBER(H78)),H78&lt;0,NOT(ISNUMBER($C$34)),NOT(ISNUMBER($C$35)),$C$34&lt;0,$C$35&lt;=0),"Check distance/rate",ROUND(H78/$C$35,0)*$C$34))</x:f>
        <x:v>500</x:v>
      </x:c>
      <x:c r="K78" s="18" t="str">
        <x:v>OSRM road estimate to barangay hall.</x:v>
      </x:c>
    </x:row>
    <x:row r="79" ht="48" customHeight="1">
      <x:c r="G79" s="13" t="str">
        <x:v>Sangali</x:v>
      </x:c>
      <x:c r="H79" s="53" t="n">
        <x:v>29.2</x:v>
      </x:c>
      <x:c r="I79" s="52" t="n">
        <x:f>IF(G79="","",IF(OR(NOT(ISNUMBER(H79)),H79&lt;0,NOT(ISNUMBER($C$34)),NOT(ISNUMBER($C$35)),$C$34&lt;0,$C$35&lt;=0),"Check distance/rate",ROUND(H79/$C$35,0)*$C$34))</x:f>
        <x:v>1500</x:v>
      </x:c>
      <x:c r="K79" s="18" t="str">
        <x:v>OSRM road estimate to barangay hall.</x:v>
      </x:c>
    </x:row>
    <x:row r="80" ht="48" customHeight="1">
      <x:c r="G80" s="13" t="str">
        <x:v>Santa Barbara</x:v>
      </x:c>
      <x:c r="H80" s="53" t="n">
        <x:v>2.8</x:v>
      </x:c>
      <x:c r="I80" s="52" t="n">
        <x:f>IF(G80="","",IF(OR(NOT(ISNUMBER(H80)),H80&lt;0,NOT(ISNUMBER($C$34)),NOT(ISNUMBER($C$35)),$C$34&lt;0,$C$35&lt;=0),"Check distance/rate",ROUND(H80/$C$35,0)*$C$34))</x:f>
        <x:v>0</x:v>
      </x:c>
      <x:c r="K80" s="18" t="str">
        <x:v>OSRM road estimate to barangay hall.</x:v>
      </x:c>
    </x:row>
    <x:row r="81" ht="48" customHeight="1">
      <x:c r="G81" s="13" t="str">
        <x:v>Santa Catalina</x:v>
      </x:c>
      <x:c r="H81" s="53" t="n">
        <x:v>1.6</x:v>
      </x:c>
      <x:c r="I81" s="52" t="n">
        <x:f>IF(G81="","",IF(OR(NOT(ISNUMBER(H81)),H81&lt;0,NOT(ISNUMBER($C$34)),NOT(ISNUMBER($C$35)),$C$34&lt;0,$C$35&lt;=0),"Check distance/rate",ROUND(H81/$C$35,0)*$C$34))</x:f>
        <x:v>0</x:v>
      </x:c>
      <x:c r="K81" s="18" t="str">
        <x:v>OSRM road estimate to barangay hall.</x:v>
      </x:c>
    </x:row>
    <x:row r="82" ht="48" customHeight="1">
      <x:c r="G82" s="13" t="str">
        <x:v>Santa Maria</x:v>
      </x:c>
      <x:c r="H82" s="53" t="n">
        <x:v>3.2</x:v>
      </x:c>
      <x:c r="I82" s="52" t="n">
        <x:f>IF(G82="","",IF(OR(NOT(ISNUMBER(H82)),H82&lt;0,NOT(ISNUMBER($C$34)),NOT(ISNUMBER($C$35)),$C$34&lt;0,$C$35&lt;=0),"Check distance/rate",ROUND(H82/$C$35,0)*$C$34))</x:f>
        <x:v>0</x:v>
      </x:c>
      <x:c r="K82" s="18" t="str">
        <x:v>OSRM road estimate to barangay hall.</x:v>
      </x:c>
    </x:row>
    <x:row r="83" ht="48" customHeight="1">
      <x:c r="G83" s="13" t="str">
        <x:v>Santo Niño</x:v>
      </x:c>
      <x:c r="H83" s="53" t="n">
        <x:v>2.7</x:v>
      </x:c>
      <x:c r="I83" s="52" t="n">
        <x:f>IF(G83="","",IF(OR(NOT(ISNUMBER(H83)),H83&lt;0,NOT(ISNUMBER($C$34)),NOT(ISNUMBER($C$35)),$C$34&lt;0,$C$35&lt;=0),"Check distance/rate",ROUND(H83/$C$35,0)*$C$34))</x:f>
        <x:v>0</x:v>
      </x:c>
      <x:c r="K83" s="18" t="str">
        <x:v>OSRM road estimate to mapped barangay/locality centre.</x:v>
      </x:c>
    </x:row>
    <x:row r="84" ht="48" customHeight="1">
      <x:c r="G84" s="13" t="str">
        <x:v>Sibulao</x:v>
      </x:c>
      <x:c r="H84" s="53" t="n">
        <x:v>66.3</x:v>
      </x:c>
      <x:c r="I84" s="52" t="n">
        <x:f>IF(G84="","",IF(OR(NOT(ISNUMBER(H84)),H84&lt;0,NOT(ISNUMBER($C$34)),NOT(ISNUMBER($C$35)),$C$34&lt;0,$C$35&lt;=0),"Check distance/rate",ROUND(H84/$C$35,0)*$C$34))</x:f>
        <x:v>3500</x:v>
      </x:c>
      <x:c r="K84" s="18" t="str">
        <x:v>OSRM road estimate to mapped barangay/locality centre.</x:v>
      </x:c>
    </x:row>
    <x:row r="85" ht="48" customHeight="1">
      <x:c r="G85" s="13" t="str">
        <x:v>Sinubung</x:v>
      </x:c>
      <x:c r="H85" s="53" t="n">
        <x:v>26</x:v>
      </x:c>
      <x:c r="I85" s="52" t="n">
        <x:f>IF(G85="","",IF(OR(NOT(ISNUMBER(H85)),H85&lt;0,NOT(ISNUMBER($C$34)),NOT(ISNUMBER($C$35)),$C$34&lt;0,$C$35&lt;=0),"Check distance/rate",ROUND(H85/$C$35,0)*$C$34))</x:f>
        <x:v>1500</x:v>
      </x:c>
      <x:c r="K85" s="18" t="str">
        <x:v>OSRM road estimate to barangay hall.</x:v>
      </x:c>
    </x:row>
    <x:row r="86" ht="48" customHeight="1">
      <x:c r="G86" s="13" t="str">
        <x:v>Sinunoc</x:v>
      </x:c>
      <x:c r="H86" s="53" t="n">
        <x:v>11.1</x:v>
      </x:c>
      <x:c r="I86" s="52" t="n">
        <x:f>IF(G86="","",IF(OR(NOT(ISNUMBER(H86)),H86&lt;0,NOT(ISNUMBER($C$34)),NOT(ISNUMBER($C$35)),$C$34&lt;0,$C$35&lt;=0),"Check distance/rate",ROUND(H86/$C$35,0)*$C$34))</x:f>
        <x:v>500</x:v>
      </x:c>
      <x:c r="K86" s="18" t="str">
        <x:v>OSRM road estimate to barangay hall.</x:v>
      </x:c>
    </x:row>
    <x:row r="87" ht="48" customHeight="1">
      <x:c r="G87" s="13" t="str">
        <x:v>Tagasilay</x:v>
      </x:c>
      <x:c r="H87" s="53" t="n">
        <x:v>62.4</x:v>
      </x:c>
      <x:c r="I87" s="52" t="n">
        <x:f>IF(G87="","",IF(OR(NOT(ISNUMBER(H87)),H87&lt;0,NOT(ISNUMBER($C$34)),NOT(ISNUMBER($C$35)),$C$34&lt;0,$C$35&lt;=0),"Check distance/rate",ROUND(H87/$C$35,0)*$C$34))</x:f>
        <x:v>3000</x:v>
      </x:c>
      <x:c r="K87" s="18" t="str">
        <x:v>OSRM road estimate to mapped barangay/locality centre.</x:v>
      </x:c>
    </x:row>
    <x:row r="88" ht="48" customHeight="1">
      <x:c r="G88" s="13" t="str">
        <x:v>Taguiti</x:v>
      </x:c>
      <x:c r="H88" s="53" t="n">
        <x:v>67.4</x:v>
      </x:c>
      <x:c r="I88" s="52" t="n">
        <x:f>IF(G88="","",IF(OR(NOT(ISNUMBER(H88)),H88&lt;0,NOT(ISNUMBER($C$34)),NOT(ISNUMBER($C$35)),$C$34&lt;0,$C$35&lt;=0),"Check distance/rate",ROUND(H88/$C$35,0)*$C$34))</x:f>
        <x:v>3500</x:v>
      </x:c>
      <x:c r="K88" s="18" t="str">
        <x:v>OSRM road estimate to Taguiti Elementary School (reference landmark).</x:v>
      </x:c>
    </x:row>
    <x:row r="89" ht="48" customHeight="1">
      <x:c r="G89" s="13" t="str">
        <x:v>Talabaan</x:v>
      </x:c>
      <x:c r="H89" s="53" t="n">
        <x:v>13.7</x:v>
      </x:c>
      <x:c r="I89" s="52" t="n">
        <x:f>IF(G89="","",IF(OR(NOT(ISNUMBER(H89)),H89&lt;0,NOT(ISNUMBER($C$34)),NOT(ISNUMBER($C$35)),$C$34&lt;0,$C$35&lt;=0),"Check distance/rate",ROUND(H89/$C$35,0)*$C$34))</x:f>
        <x:v>500</x:v>
      </x:c>
      <x:c r="K89" s="18" t="str">
        <x:v>OSRM road estimate to mapped barangay/locality centre.</x:v>
      </x:c>
    </x:row>
    <x:row r="90" ht="48" customHeight="1">
      <x:c r="G90" s="13" t="str">
        <x:v>Talisayan</x:v>
      </x:c>
      <x:c r="H90" s="53" t="n">
        <x:v>21.9</x:v>
      </x:c>
      <x:c r="I90" s="52" t="n">
        <x:f>IF(G90="","",IF(OR(NOT(ISNUMBER(H90)),H90&lt;0,NOT(ISNUMBER($C$34)),NOT(ISNUMBER($C$35)),$C$34&lt;0,$C$35&lt;=0),"Check distance/rate",ROUND(H90/$C$35,0)*$C$34))</x:f>
        <x:v>1000</x:v>
      </x:c>
      <x:c r="K90" s="18" t="str">
        <x:v>OSRM road estimate to barangay hall.</x:v>
      </x:c>
    </x:row>
    <x:row r="91" ht="48" customHeight="1">
      <x:c r="G91" s="13" t="str">
        <x:v>Talon-talon</x:v>
      </x:c>
      <x:c r="H91" s="53" t="n">
        <x:v>2.9</x:v>
      </x:c>
      <x:c r="I91" s="52" t="n">
        <x:f>IF(G91="","",IF(OR(NOT(ISNUMBER(H91)),H91&lt;0,NOT(ISNUMBER($C$34)),NOT(ISNUMBER($C$35)),$C$34&lt;0,$C$35&lt;=0),"Check distance/rate",ROUND(H91/$C$35,0)*$C$34))</x:f>
        <x:v>0</x:v>
      </x:c>
      <x:c r="K91" s="18" t="str">
        <x:v>OSRM road estimate to mapped barangay/locality centre.</x:v>
      </x:c>
    </x:row>
    <x:row r="92" ht="48" customHeight="1">
      <x:c r="G92" s="13" t="str">
        <x:v>Taluksangay</x:v>
      </x:c>
      <x:c r="H92" s="53" t="n">
        <x:v>14.9</x:v>
      </x:c>
      <x:c r="I92" s="52" t="n">
        <x:f>IF(G92="","",IF(OR(NOT(ISNUMBER(H92)),H92&lt;0,NOT(ISNUMBER($C$34)),NOT(ISNUMBER($C$35)),$C$34&lt;0,$C$35&lt;=0),"Check distance/rate",ROUND(H92/$C$35,0)*$C$34))</x:f>
        <x:v>500</x:v>
      </x:c>
      <x:c r="K92" s="18" t="str">
        <x:v>OSRM road estimate to barangay hall.</x:v>
      </x:c>
    </x:row>
    <x:row r="93" ht="48" customHeight="1">
      <x:c r="G93" s="13" t="str">
        <x:v>Tetuan</x:v>
      </x:c>
      <x:c r="H93" s="53" t="n">
        <x:v>0</x:v>
      </x:c>
      <x:c r="I93" s="52" t="n">
        <x:f>IF(G93="","",IF(OR(NOT(ISNUMBER(H93)),H93&lt;0,NOT(ISNUMBER($C$34)),NOT(ISNUMBER($C$35)),$C$34&lt;0,$C$35&lt;=0),"Check distance/rate",ROUND(H93/$C$35,0)*$C$34))</x:f>
        <x:v>0</x:v>
      </x:c>
      <x:c r="K93" s="18" t="str">
        <x:v>Origin: Tetuan Barangay Hall.</x:v>
      </x:c>
    </x:row>
    <x:row r="94" ht="48" customHeight="1">
      <x:c r="G94" s="13" t="str">
        <x:v>Tictapul</x:v>
      </x:c>
      <x:c r="H94" s="53" t="n">
        <x:v>79.9</x:v>
      </x:c>
      <x:c r="I94" s="52" t="n">
        <x:f>IF(G94="","",IF(OR(NOT(ISNUMBER(H94)),H94&lt;0,NOT(ISNUMBER($C$34)),NOT(ISNUMBER($C$35)),$C$34&lt;0,$C$35&lt;=0),"Check distance/rate",ROUND(H94/$C$35,0)*$C$34))</x:f>
        <x:v>4000</x:v>
      </x:c>
      <x:c r="K94" s="18" t="str">
        <x:v>OSRM road estimate to mapped barangay/locality centre.</x:v>
      </x:c>
    </x:row>
    <x:row r="95" ht="48" customHeight="1">
      <x:c r="G95" s="13" t="str">
        <x:v>Tigbalabag</x:v>
      </x:c>
      <x:c r="H95" s="53" t="n">
        <x:v>65</x:v>
      </x:c>
      <x:c r="I95" s="52" t="n">
        <x:f>IF(G95="","",IF(OR(NOT(ISNUMBER(H95)),H95&lt;0,NOT(ISNUMBER($C$34)),NOT(ISNUMBER($C$35)),$C$34&lt;0,$C$35&lt;=0),"Check distance/rate",ROUND(H95/$C$35,0)*$C$34))</x:f>
        <x:v>3500</x:v>
      </x:c>
      <x:c r="K95" s="18" t="str">
        <x:v>OSRM road estimate to mapped barangay/locality centre.</x:v>
      </x:c>
    </x:row>
    <x:row r="96" ht="48" customHeight="1">
      <x:c r="G96" s="13" t="str">
        <x:v>Tigtabon (island)</x:v>
      </x:c>
      <x:c r="H96" s="53" t="n">
        <x:v>17</x:v>
      </x:c>
      <x:c r="I96" s="52" t="n">
        <x:f>IF(G96="","",IF(OR(NOT(ISNUMBER(H96)),H96&lt;0,NOT(ISNUMBER($C$34)),NOT(ISNUMBER($C$35)),$C$34&lt;0,$C$35&lt;=0),"Check distance/rate",ROUND(H96/$C$35,0)*$C$34))</x:f>
        <x:v>1000</x:v>
      </x:c>
      <x:c r="K96" s="18" t="str">
        <x:v>Existing island estimate retained.</x:v>
      </x:c>
    </x:row>
    <x:row r="97" ht="48" customHeight="1">
      <x:c r="G97" s="13" t="str">
        <x:v>Tolosa</x:v>
      </x:c>
      <x:c r="H97" s="53" t="n">
        <x:v>21.9</x:v>
      </x:c>
      <x:c r="I97" s="52" t="n">
        <x:f>IF(G97="","",IF(OR(NOT(ISNUMBER(H97)),H97&lt;0,NOT(ISNUMBER($C$34)),NOT(ISNUMBER($C$35)),$C$34&lt;0,$C$35&lt;=0),"Check distance/rate",ROUND(H97/$C$35,0)*$C$34))</x:f>
        <x:v>1000</x:v>
      </x:c>
      <x:c r="K97" s="18" t="str">
        <x:v>OSRM road estimate to mapped barangay/locality centre.</x:v>
      </x:c>
    </x:row>
    <x:row r="98" ht="48" customHeight="1">
      <x:c r="G98" s="13" t="str">
        <x:v>Tugbungan</x:v>
      </x:c>
      <x:c r="H98" s="53" t="n">
        <x:v>1.7</x:v>
      </x:c>
      <x:c r="I98" s="52" t="n">
        <x:f>IF(G98="","",IF(OR(NOT(ISNUMBER(H98)),H98&lt;0,NOT(ISNUMBER($C$34)),NOT(ISNUMBER($C$35)),$C$34&lt;0,$C$35&lt;=0),"Check distance/rate",ROUND(H98/$C$35,0)*$C$34))</x:f>
        <x:v>0</x:v>
      </x:c>
      <x:c r="K98" s="18" t="str">
        <x:v>OSRM road estimate to barangay hall.</x:v>
      </x:c>
    </x:row>
    <x:row r="99" ht="48" customHeight="1">
      <x:c r="G99" s="13" t="str">
        <x:v>Tulungatung</x:v>
      </x:c>
      <x:c r="H99" s="53" t="n">
        <x:v>17.7</x:v>
      </x:c>
      <x:c r="I99" s="52" t="n">
        <x:f>IF(G99="","",IF(OR(NOT(ISNUMBER(H99)),H99&lt;0,NOT(ISNUMBER($C$34)),NOT(ISNUMBER($C$35)),$C$34&lt;0,$C$35&lt;=0),"Check distance/rate",ROUND(H99/$C$35,0)*$C$34))</x:f>
        <x:v>1000</x:v>
      </x:c>
      <x:c r="K99" s="18" t="str">
        <x:v>OSRM road estimate to barangay hall.</x:v>
      </x:c>
    </x:row>
    <x:row r="100" ht="48" customHeight="1">
      <x:c r="G100" s="13" t="str">
        <x:v>Tumaga</x:v>
      </x:c>
      <x:c r="H100" s="53" t="n">
        <x:v>3.8</x:v>
      </x:c>
      <x:c r="I100" s="52" t="n">
        <x:f>IF(G100="","",IF(OR(NOT(ISNUMBER(H100)),H100&lt;0,NOT(ISNUMBER($C$34)),NOT(ISNUMBER($C$35)),$C$34&lt;0,$C$35&lt;=0),"Check distance/rate",ROUND(H100/$C$35,0)*$C$34))</x:f>
        <x:v>0</x:v>
      </x:c>
      <x:c r="K100" s="18" t="str">
        <x:v>OSRM road estimate to barangay hall.</x:v>
      </x:c>
    </x:row>
    <x:row r="101" ht="48" customHeight="1">
      <x:c r="G101" s="13" t="str">
        <x:v>Tumalutab (island)</x:v>
      </x:c>
      <x:c r="H101" s="53" t="n">
        <x:v>25</x:v>
      </x:c>
      <x:c r="I101" s="52" t="n">
        <x:f>IF(G101="","",IF(OR(NOT(ISNUMBER(H101)),H101&lt;0,NOT(ISNUMBER($C$34)),NOT(ISNUMBER($C$35)),$C$34&lt;0,$C$35&lt;=0),"Check distance/rate",ROUND(H101/$C$35,0)*$C$34))</x:f>
        <x:v>1500</x:v>
      </x:c>
      <x:c r="K101" s="18" t="str">
        <x:v>Existing island estimate retained.</x:v>
      </x:c>
    </x:row>
    <x:row r="102" ht="48" customHeight="1">
      <x:c r="G102" s="13" t="str">
        <x:v>Tumitus (island)</x:v>
      </x:c>
      <x:c r="H102" s="53"/>
      <x:c r="I102" s="52" t="str">
        <x:f>IF(G102="","",IF(OR(NOT(ISNUMBER(H102)),H102&lt;0,NOT(ISNUMBER($C$34)),NOT(ISNUMBER($C$35)),$C$34&lt;0,$C$35&lt;=0),"Check distance/rate",ROUND(H102/$C$35,0)*$C$34))</x:f>
        <x:v>Check distance/rate</x:v>
      </x:c>
      <x:c r="K102" s="18" t="str">
        <x:v>New island destination; manual km required until estimate entered.</x:v>
      </x:c>
    </x:row>
    <x:row r="103" ht="48" customHeight="1">
      <x:c r="G103" s="13" t="str">
        <x:v>Victoria</x:v>
      </x:c>
      <x:c r="H103" s="53" t="n">
        <x:v>23.8</x:v>
      </x:c>
      <x:c r="I103" s="52" t="n">
        <x:f>IF(G103="","",IF(OR(NOT(ISNUMBER(H103)),H103&lt;0,NOT(ISNUMBER($C$34)),NOT(ISNUMBER($C$35)),$C$34&lt;0,$C$35&lt;=0),"Check distance/rate",ROUND(H103/$C$35,0)*$C$34))</x:f>
        <x:v>1000</x:v>
      </x:c>
      <x:c r="K103" s="18" t="str">
        <x:v>OSRM road estimate to mapped barangay/locality centre.</x:v>
      </x:c>
    </x:row>
    <x:row r="104" ht="48" customHeight="1">
      <x:c r="G104" s="13" t="str">
        <x:v>Vitali</x:v>
      </x:c>
      <x:c r="H104" s="53" t="n">
        <x:v>73</x:v>
      </x:c>
      <x:c r="I104" s="52" t="n">
        <x:f>IF(G104="","",IF(OR(NOT(ISNUMBER(H104)),H104&lt;0,NOT(ISNUMBER($C$34)),NOT(ISNUMBER($C$35)),$C$34&lt;0,$C$35&lt;=0),"Check distance/rate",ROUND(H104/$C$35,0)*$C$34))</x:f>
        <x:v>3500</x:v>
      </x:c>
      <x:c r="K104" s="18" t="str">
        <x:v>OSRM road estimate to mapped barangay/locality centre.</x:v>
      </x:c>
    </x:row>
    <x:row r="105" ht="48" customHeight="1">
      <x:c r="G105" s="13" t="str">
        <x:v>Zambowood</x:v>
      </x:c>
      <x:c r="H105" s="53" t="n">
        <x:v>8.3</x:v>
      </x:c>
      <x:c r="I105" s="52" t="n">
        <x:f>IF(G105="","",IF(OR(NOT(ISNUMBER(H105)),H105&lt;0,NOT(ISNUMBER($C$34)),NOT(ISNUMBER($C$35)),$C$34&lt;0,$C$35&lt;=0),"Check distance/rate",ROUND(H105/$C$35,0)*$C$34))</x:f>
        <x:v>500</x:v>
      </x:c>
      <x:c r="K105" s="18" t="str">
        <x:v>OSRM road estimate to mapped barangay/locality centre.</x:v>
      </x:c>
    </x:row>
    <x:row r="106" ht="23" customHeight="1">
      <x:c r="G106" s="13"/>
      <x:c r="H106" s="53"/>
      <x:c r="I106" s="52" t="str">
        <x:f>IF(G106="","",IF(OR(NOT(ISNUMBER(H106)),H106&lt;0,NOT(ISNUMBER($C$34)),NOT(ISNUMBER($C$35)),$C$34&lt;0,$C$35&lt;=0),"Check distance/rate",ROUND(H106/$C$35,0)*$C$34))</x:f>
      </x:c>
    </x:row>
    <x:row r="107" ht="23" customHeight="1">
      <x:c r="G107" s="13"/>
      <x:c r="H107" s="53"/>
      <x:c r="I107" s="52" t="str">
        <x:f>IF(G107="","",IF(OR(NOT(ISNUMBER(H107)),H107&lt;0,NOT(ISNUMBER($C$34)),NOT(ISNUMBER($C$35)),$C$34&lt;0,$C$35&lt;=0),"Check distance/rate",ROUND(H107/$C$35,0)*$C$34))</x:f>
      </x:c>
    </x:row>
    <x:row r="108" ht="23" customHeight="1">
      <x:c r="G108" s="13"/>
      <x:c r="H108" s="53"/>
      <x:c r="I108" s="52" t="str">
        <x:f>IF(G108="","",IF(OR(NOT(ISNUMBER(H108)),H108&lt;0,NOT(ISNUMBER($C$34)),NOT(ISNUMBER($C$35)),$C$34&lt;0,$C$35&lt;=0),"Check distance/rate",ROUND(H108/$C$35,0)*$C$34))</x:f>
      </x:c>
    </x:row>
    <x:row r="109" ht="23" customHeight="1">
      <x:c r="G109" s="13"/>
      <x:c r="H109" s="53"/>
      <x:c r="I109" s="52" t="str">
        <x:f>IF(G109="","",IF(OR(NOT(ISNUMBER(H109)),H109&lt;0,NOT(ISNUMBER($C$34)),NOT(ISNUMBER($C$35)),$C$34&lt;0,$C$35&lt;=0),"Check distance/rate",ROUND(H109/$C$35,0)*$C$34))</x:f>
      </x:c>
    </x:row>
    <x:row r="110" ht="23" customHeight="1">
      <x:c r="G110" s="13"/>
      <x:c r="H110" s="53"/>
      <x:c r="I110" s="52" t="str">
        <x:f>IF(G110="","",IF(OR(NOT(ISNUMBER(H110)),H110&lt;0,NOT(ISNUMBER($C$34)),NOT(ISNUMBER($C$35)),$C$34&lt;0,$C$35&lt;=0),"Check distance/rate",ROUND(H110/$C$35,0)*$C$34))</x:f>
      </x:c>
    </x:row>
    <x:row r="111" ht="23" customHeight="1">
      <x:c r="G111" s="13"/>
      <x:c r="H111" s="53"/>
      <x:c r="I111" s="52" t="str">
        <x:f>IF(G111="","",IF(OR(NOT(ISNUMBER(H111)),H111&lt;0,NOT(ISNUMBER($C$34)),NOT(ISNUMBER($C$35)),$C$34&lt;0,$C$35&lt;=0),"Check distance/rate",ROUND(H111/$C$35,0)*$C$34))</x:f>
      </x:c>
    </x:row>
    <x:row r="112" ht="23" customHeight="1">
      <x:c r="G112" s="13"/>
      <x:c r="H112" s="53"/>
      <x:c r="I112" s="52" t="str">
        <x:f>IF(G112="","",IF(OR(NOT(ISNUMBER(H112)),H112&lt;0,NOT(ISNUMBER($C$34)),NOT(ISNUMBER($C$35)),$C$34&lt;0,$C$35&lt;=0),"Check distance/rate",ROUND(H112/$C$35,0)*$C$34))</x:f>
      </x:c>
    </x:row>
    <x:row r="113" ht="23" customHeight="1">
      <x:c r="G113" s="13"/>
      <x:c r="H113" s="53"/>
      <x:c r="I113" s="52" t="str">
        <x:f>IF(G113="","",IF(OR(NOT(ISNUMBER(H113)),H113&lt;0,NOT(ISNUMBER($C$34)),NOT(ISNUMBER($C$35)),$C$34&lt;0,$C$35&lt;=0),"Check distance/rate",ROUND(H113/$C$35,0)*$C$34))</x:f>
      </x:c>
    </x:row>
    <x:row r="114" ht="23" customHeight="1">
      <x:c r="G114" s="13"/>
      <x:c r="H114" s="53"/>
      <x:c r="I114" s="52" t="str">
        <x:f>IF(G114="","",IF(OR(NOT(ISNUMBER(H114)),H114&lt;0,NOT(ISNUMBER($C$34)),NOT(ISNUMBER($C$35)),$C$34&lt;0,$C$35&lt;=0),"Check distance/rate",ROUND(H114/$C$35,0)*$C$34))</x:f>
      </x:c>
    </x:row>
    <x:row r="115" ht="23" customHeight="1">
      <x:c r="G115" s="13"/>
      <x:c r="H115" s="53"/>
      <x:c r="I115" s="52" t="str">
        <x:f>IF(G115="","",IF(OR(NOT(ISNUMBER(H115)),H115&lt;0,NOT(ISNUMBER($C$34)),NOT(ISNUMBER($C$35)),$C$34&lt;0,$C$35&lt;=0),"Check distance/rate",ROUND(H115/$C$35,0)*$C$34))</x:f>
      </x:c>
    </x:row>
    <x:row r="116" ht="23" customHeight="1">
      <x:c r="G116" s="13"/>
      <x:c r="H116" s="53"/>
      <x:c r="I116" s="52" t="str">
        <x:f>IF(G116="","",IF(OR(NOT(ISNUMBER(H116)),H116&lt;0,NOT(ISNUMBER($C$34)),NOT(ISNUMBER($C$35)),$C$34&lt;0,$C$35&lt;=0),"Check distance/rate",ROUND(H116/$C$35,0)*$C$34))</x:f>
      </x:c>
    </x:row>
    <x:row r="117" ht="23" customHeight="1">
      <x:c r="G117" s="13"/>
      <x:c r="H117" s="53"/>
      <x:c r="I117" s="52" t="str">
        <x:f>IF(G117="","",IF(OR(NOT(ISNUMBER(H117)),H117&lt;0,NOT(ISNUMBER($C$34)),NOT(ISNUMBER($C$35)),$C$34&lt;0,$C$35&lt;=0),"Check distance/rate",ROUND(H117/$C$35,0)*$C$34))</x:f>
      </x:c>
    </x:row>
    <x:row r="118" ht="23" customHeight="1">
      <x:c r="G118" s="13"/>
      <x:c r="H118" s="53"/>
      <x:c r="I118" s="52" t="str">
        <x:f>IF(G118="","",IF(OR(NOT(ISNUMBER(H118)),H118&lt;0,NOT(ISNUMBER($C$34)),NOT(ISNUMBER($C$35)),$C$34&lt;0,$C$35&lt;=0),"Check distance/rate",ROUND(H118/$C$35,0)*$C$34))</x:f>
      </x:c>
    </x:row>
    <x:row r="119" ht="23" customHeight="1">
      <x:c r="G119" s="13"/>
      <x:c r="H119" s="53"/>
      <x:c r="I119" s="52" t="str">
        <x:f>IF(G119="","",IF(OR(NOT(ISNUMBER(H119)),H119&lt;0,NOT(ISNUMBER($C$34)),NOT(ISNUMBER($C$35)),$C$34&lt;0,$C$35&lt;=0),"Check distance/rate",ROUND(H119/$C$35,0)*$C$34))</x:f>
      </x:c>
    </x:row>
    <x:row r="120" ht="23" customHeight="1">
      <x:c r="G120" s="13"/>
      <x:c r="H120" s="53"/>
      <x:c r="I120" s="52" t="str">
        <x:f>IF(G120="","",IF(OR(NOT(ISNUMBER(H120)),H120&lt;0,NOT(ISNUMBER($C$34)),NOT(ISNUMBER($C$35)),$C$34&lt;0,$C$35&lt;=0),"Check distance/rate",ROUND(H120/$C$35,0)*$C$34))</x:f>
      </x:c>
    </x:row>
    <x:row r="121" ht="23" customHeight="1">
      <x:c r="G121" s="13"/>
      <x:c r="H121" s="53"/>
      <x:c r="I121" s="52" t="str">
        <x:f>IF(G121="","",IF(OR(NOT(ISNUMBER(H121)),H121&lt;0,NOT(ISNUMBER($C$34)),NOT(ISNUMBER($C$35)),$C$34&lt;0,$C$35&lt;=0),"Check distance/rate",ROUND(H121/$C$35,0)*$C$34))</x:f>
      </x:c>
    </x:row>
    <x:row r="122" ht="23" customHeight="1">
      <x:c r="G122" s="13"/>
      <x:c r="H122" s="53"/>
      <x:c r="I122" s="52" t="str">
        <x:f>IF(G122="","",IF(OR(NOT(ISNUMBER(H122)),H122&lt;0,NOT(ISNUMBER($C$34)),NOT(ISNUMBER($C$35)),$C$34&lt;0,$C$35&lt;=0),"Check distance/rate",ROUND(H122/$C$35,0)*$C$34))</x:f>
      </x:c>
    </x:row>
    <x:row r="123" ht="23" customHeight="1">
      <x:c r="G123" s="13"/>
      <x:c r="H123" s="53"/>
      <x:c r="I123" s="52" t="str">
        <x:f>IF(G123="","",IF(OR(NOT(ISNUMBER(H123)),H123&lt;0,NOT(ISNUMBER($C$34)),NOT(ISNUMBER($C$35)),$C$34&lt;0,$C$35&lt;=0),"Check distance/rate",ROUND(H123/$C$35,0)*$C$34))</x:f>
      </x:c>
    </x:row>
    <x:row r="124" ht="23" customHeight="1">
      <x:c r="G124" s="13"/>
      <x:c r="H124" s="53"/>
      <x:c r="I124" s="52" t="str">
        <x:f>IF(G124="","",IF(OR(NOT(ISNUMBER(H124)),H124&lt;0,NOT(ISNUMBER($C$34)),NOT(ISNUMBER($C$35)),$C$34&lt;0,$C$35&lt;=0),"Check distance/rate",ROUND(H124/$C$35,0)*$C$34))</x:f>
      </x:c>
    </x:row>
    <x:row r="125" ht="23" customHeight="1">
      <x:c r="G125" s="13"/>
      <x:c r="H125" s="53"/>
      <x:c r="I125" s="52" t="str">
        <x:f>IF(G125="","",IF(OR(NOT(ISNUMBER(H125)),H125&lt;0,NOT(ISNUMBER($C$34)),NOT(ISNUMBER($C$35)),$C$34&lt;0,$C$35&lt;=0),"Check distance/rate",ROUND(H125/$C$35,0)*$C$34))</x:f>
      </x:c>
    </x:row>
    <x:row r="126" ht="23" customHeight="1">
      <x:c r="G126" s="13"/>
      <x:c r="H126" s="53"/>
      <x:c r="I126" s="52" t="str">
        <x:f>IF(G126="","",IF(OR(NOT(ISNUMBER(H126)),H126&lt;0,NOT(ISNUMBER($C$34)),NOT(ISNUMBER($C$35)),$C$34&lt;0,$C$35&lt;=0),"Check distance/rate",ROUND(H126/$C$35,0)*$C$34))</x:f>
      </x:c>
    </x:row>
    <x:row r="127" ht="23" customHeight="1">
      <x:c r="G127" s="13"/>
      <x:c r="H127" s="53"/>
      <x:c r="I127" s="52" t="str">
        <x:f>IF(G127="","",IF(OR(NOT(ISNUMBER(H127)),H127&lt;0,NOT(ISNUMBER($C$34)),NOT(ISNUMBER($C$35)),$C$34&lt;0,$C$35&lt;=0),"Check distance/rate",ROUND(H127/$C$35,0)*$C$34))</x:f>
      </x:c>
    </x:row>
    <x:row r="128" ht="23" customHeight="1">
      <x:c r="G128" s="13"/>
      <x:c r="H128" s="53"/>
      <x:c r="I128" s="52" t="str">
        <x:f>IF(G128="","",IF(OR(NOT(ISNUMBER(H128)),H128&lt;0,NOT(ISNUMBER($C$34)),NOT(ISNUMBER($C$35)),$C$34&lt;0,$C$35&lt;=0),"Check distance/rate",ROUND(H128/$C$35,0)*$C$34))</x:f>
      </x:c>
    </x:row>
    <x:row r="129" ht="23" customHeight="1">
      <x:c r="G129" s="13"/>
      <x:c r="H129" s="53"/>
      <x:c r="I129" s="52" t="str">
        <x:f>IF(G129="","",IF(OR(NOT(ISNUMBER(H129)),H129&lt;0,NOT(ISNUMBER($C$34)),NOT(ISNUMBER($C$35)),$C$34&lt;0,$C$35&lt;=0),"Check distance/rate",ROUND(H129/$C$35,0)*$C$34))</x:f>
      </x:c>
    </x:row>
    <x:row r="130" ht="23" customHeight="1">
      <x:c r="G130" s="13"/>
      <x:c r="H130" s="53"/>
      <x:c r="I130" s="52" t="str">
        <x:f>IF(G130="","",IF(OR(NOT(ISNUMBER(H130)),H130&lt;0,NOT(ISNUMBER($C$34)),NOT(ISNUMBER($C$35)),$C$34&lt;0,$C$35&lt;=0),"Check distance/rate",ROUND(H130/$C$35,0)*$C$34))</x:f>
      </x:c>
    </x:row>
    <x:row r="131" ht="23" customHeight="1">
      <x:c r="G131" s="13"/>
      <x:c r="H131" s="53"/>
      <x:c r="I131" s="52" t="str">
        <x:f>IF(G131="","",IF(OR(NOT(ISNUMBER(H131)),H131&lt;0,NOT(ISNUMBER($C$34)),NOT(ISNUMBER($C$35)),$C$34&lt;0,$C$35&lt;=0),"Check distance/rate",ROUND(H131/$C$35,0)*$C$34))</x:f>
      </x:c>
    </x:row>
    <x:row r="132" ht="23" customHeight="1">
      <x:c r="G132" s="13"/>
      <x:c r="H132" s="53"/>
      <x:c r="I132" s="52" t="str">
        <x:f>IF(G132="","",IF(OR(NOT(ISNUMBER(H132)),H132&lt;0,NOT(ISNUMBER($C$34)),NOT(ISNUMBER($C$35)),$C$34&lt;0,$C$35&lt;=0),"Check distance/rate",ROUND(H132/$C$35,0)*$C$34))</x:f>
      </x:c>
    </x:row>
    <x:row r="133" ht="23" customHeight="1">
      <x:c r="G133" s="13"/>
      <x:c r="H133" s="53"/>
      <x:c r="I133" s="52" t="str">
        <x:f>IF(G133="","",IF(OR(NOT(ISNUMBER(H133)),H133&lt;0,NOT(ISNUMBER($C$34)),NOT(ISNUMBER($C$35)),$C$34&lt;0,$C$35&lt;=0),"Check distance/rate",ROUND(H133/$C$35,0)*$C$34))</x:f>
      </x:c>
    </x:row>
    <x:row r="134" ht="23" customHeight="1">
      <x:c r="G134" s="13"/>
      <x:c r="H134" s="53"/>
      <x:c r="I134" s="52" t="str">
        <x:f>IF(G134="","",IF(OR(NOT(ISNUMBER(H134)),H134&lt;0,NOT(ISNUMBER($C$34)),NOT(ISNUMBER($C$35)),$C$34&lt;0,$C$35&lt;=0),"Check distance/rate",ROUND(H134/$C$35,0)*$C$34))</x:f>
      </x:c>
    </x:row>
    <x:row r="135" ht="23" customHeight="1">
      <x:c r="G135" s="13"/>
      <x:c r="H135" s="53"/>
      <x:c r="I135" s="52" t="str">
        <x:f>IF(G135="","",IF(OR(NOT(ISNUMBER(H135)),H135&lt;0,NOT(ISNUMBER($C$34)),NOT(ISNUMBER($C$35)),$C$34&lt;0,$C$35&lt;=0),"Check distance/rate",ROUND(H135/$C$35,0)*$C$34))</x:f>
      </x:c>
    </x:row>
    <x:row r="136" ht="23" customHeight="1">
      <x:c r="G136" s="13"/>
      <x:c r="H136" s="53"/>
      <x:c r="I136" s="52" t="str">
        <x:f>IF(G136="","",IF(OR(NOT(ISNUMBER(H136)),H136&lt;0,NOT(ISNUMBER($C$34)),NOT(ISNUMBER($C$35)),$C$34&lt;0,$C$35&lt;=0),"Check distance/rate",ROUND(H136/$C$35,0)*$C$34))</x:f>
      </x:c>
    </x:row>
    <x:row r="137" ht="23" customHeight="1">
      <x:c r="G137" s="13"/>
      <x:c r="H137" s="53"/>
      <x:c r="I137" s="52" t="str">
        <x:f>IF(G137="","",IF(OR(NOT(ISNUMBER(H137)),H137&lt;0,NOT(ISNUMBER($C$34)),NOT(ISNUMBER($C$35)),$C$34&lt;0,$C$35&lt;=0),"Check distance/rate",ROUND(H137/$C$35,0)*$C$34))</x:f>
      </x:c>
    </x:row>
    <x:row r="138" ht="23" customHeight="1">
      <x:c r="G138" s="13"/>
      <x:c r="H138" s="53"/>
      <x:c r="I138" s="52" t="str">
        <x:f>IF(G138="","",IF(OR(NOT(ISNUMBER(H138)),H138&lt;0,NOT(ISNUMBER($C$34)),NOT(ISNUMBER($C$35)),$C$34&lt;0,$C$35&lt;=0),"Check distance/rate",ROUND(H138/$C$35,0)*$C$34))</x:f>
      </x:c>
    </x:row>
    <x:row r="139" ht="23" customHeight="1">
      <x:c r="G139" s="13"/>
      <x:c r="H139" s="53"/>
      <x:c r="I139" s="52" t="str">
        <x:f>IF(G139="","",IF(OR(NOT(ISNUMBER(H139)),H139&lt;0,NOT(ISNUMBER($C$34)),NOT(ISNUMBER($C$35)),$C$34&lt;0,$C$35&lt;=0),"Check distance/rate",ROUND(H139/$C$35,0)*$C$34))</x:f>
      </x:c>
    </x:row>
    <x:row r="140" ht="23" customHeight="1">
      <x:c r="G140" s="13"/>
      <x:c r="H140" s="53"/>
      <x:c r="I140" s="52" t="str">
        <x:f>IF(G140="","",IF(OR(NOT(ISNUMBER(H140)),H140&lt;0,NOT(ISNUMBER($C$34)),NOT(ISNUMBER($C$35)),$C$34&lt;0,$C$35&lt;=0),"Check distance/rate",ROUND(H140/$C$35,0)*$C$34))</x:f>
      </x:c>
    </x:row>
    <x:row r="141" ht="23" customHeight="1">
      <x:c r="G141" s="13"/>
      <x:c r="H141" s="53"/>
      <x:c r="I141" s="52" t="str">
        <x:f>IF(G141="","",IF(OR(NOT(ISNUMBER(H141)),H141&lt;0,NOT(ISNUMBER($C$34)),NOT(ISNUMBER($C$35)),$C$34&lt;0,$C$35&lt;=0),"Check distance/rate",ROUND(H141/$C$35,0)*$C$34))</x:f>
      </x:c>
    </x:row>
    <x:row r="142" ht="23" customHeight="1">
      <x:c r="G142" s="13"/>
      <x:c r="H142" s="53"/>
      <x:c r="I142" s="52" t="str">
        <x:f>IF(G142="","",IF(OR(NOT(ISNUMBER(H142)),H142&lt;0,NOT(ISNUMBER($C$34)),NOT(ISNUMBER($C$35)),$C$34&lt;0,$C$35&lt;=0),"Check distance/rate",ROUND(H142/$C$35,0)*$C$34))</x:f>
      </x:c>
    </x:row>
    <x:row r="143" ht="23" customHeight="1">
      <x:c r="G143" s="13"/>
      <x:c r="H143" s="53"/>
      <x:c r="I143" s="52" t="str">
        <x:f>IF(G143="","",IF(OR(NOT(ISNUMBER(H143)),H143&lt;0,NOT(ISNUMBER($C$34)),NOT(ISNUMBER($C$35)),$C$34&lt;0,$C$35&lt;=0),"Check distance/rate",ROUND(H143/$C$35,0)*$C$34))</x:f>
      </x:c>
    </x:row>
    <x:row r="144" ht="23" customHeight="1">
      <x:c r="G144" s="13"/>
      <x:c r="H144" s="53"/>
      <x:c r="I144" s="52" t="str">
        <x:f>IF(G144="","",IF(OR(NOT(ISNUMBER(H144)),H144&lt;0,NOT(ISNUMBER($C$34)),NOT(ISNUMBER($C$35)),$C$34&lt;0,$C$35&lt;=0),"Check distance/rate",ROUND(H144/$C$35,0)*$C$34))</x:f>
      </x:c>
    </x:row>
    <x:row r="145" ht="23" customHeight="1">
      <x:c r="G145" s="13"/>
      <x:c r="H145" s="53"/>
      <x:c r="I145" s="52" t="str">
        <x:f>IF(G145="","",IF(OR(NOT(ISNUMBER(H145)),H145&lt;0,NOT(ISNUMBER($C$34)),NOT(ISNUMBER($C$35)),$C$34&lt;0,$C$35&lt;=0),"Check distance/rate",ROUND(H145/$C$35,0)*$C$34))</x:f>
      </x:c>
    </x:row>
    <x:row r="146" ht="23" customHeight="1">
      <x:c r="G146" s="13"/>
      <x:c r="H146" s="53"/>
      <x:c r="I146" s="52" t="str">
        <x:f>IF(G146="","",IF(OR(NOT(ISNUMBER(H146)),H146&lt;0,NOT(ISNUMBER($C$34)),NOT(ISNUMBER($C$35)),$C$34&lt;0,$C$35&lt;=0),"Check distance/rate",ROUND(H146/$C$35,0)*$C$34))</x:f>
      </x:c>
    </x:row>
    <x:row r="147" ht="23" customHeight="1">
      <x:c r="G147" s="13"/>
      <x:c r="H147" s="53"/>
      <x:c r="I147" s="52" t="str">
        <x:f>IF(G147="","",IF(OR(NOT(ISNUMBER(H147)),H147&lt;0,NOT(ISNUMBER($C$34)),NOT(ISNUMBER($C$35)),$C$34&lt;0,$C$35&lt;=0),"Check distance/rate",ROUND(H147/$C$35,0)*$C$34))</x:f>
      </x:c>
    </x:row>
    <x:row r="148" ht="23" customHeight="1">
      <x:c r="G148" s="13"/>
      <x:c r="H148" s="53"/>
      <x:c r="I148" s="52" t="str">
        <x:f>IF(G148="","",IF(OR(NOT(ISNUMBER(H148)),H148&lt;0,NOT(ISNUMBER($C$34)),NOT(ISNUMBER($C$35)),$C$34&lt;0,$C$35&lt;=0),"Check distance/rate",ROUND(H148/$C$35,0)*$C$34))</x:f>
      </x:c>
    </x:row>
    <x:row r="149" ht="23" customHeight="1">
      <x:c r="G149" s="13"/>
      <x:c r="H149" s="53"/>
      <x:c r="I149" s="52" t="str">
        <x:f>IF(G149="","",IF(OR(NOT(ISNUMBER(H149)),H149&lt;0,NOT(ISNUMBER($C$34)),NOT(ISNUMBER($C$35)),$C$34&lt;0,$C$35&lt;=0),"Check distance/rate",ROUND(H149/$C$35,0)*$C$34))</x:f>
      </x:c>
    </x:row>
    <x:row r="150" ht="23" customHeight="1">
      <x:c r="G150" s="13"/>
      <x:c r="H150" s="53"/>
      <x:c r="I150" s="52" t="str">
        <x:f>IF(G150="","",IF(OR(NOT(ISNUMBER(H150)),H150&lt;0,NOT(ISNUMBER($C$34)),NOT(ISNUMBER($C$35)),$C$34&lt;0,$C$35&lt;=0),"Check distance/rate",ROUND(H150/$C$35,0)*$C$34))</x:f>
      </x:c>
    </x:row>
  </x:sheetData>
  <x:pageMargins left="0.7" right="0.7" top="0.75" bottom="0.75" header="0.3" footer="0.3"/>
</x:worksheet>
</file>